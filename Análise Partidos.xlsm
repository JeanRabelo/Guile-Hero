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an_\Documents\GitHub\Guile Hero\"/>
    </mc:Choice>
  </mc:AlternateContent>
  <xr:revisionPtr revIDLastSave="0" documentId="13_ncr:1_{13EBABEA-9F61-4A8F-BA26-C09E3603E797}" xr6:coauthVersionLast="47" xr6:coauthVersionMax="47" xr10:uidLastSave="{00000000-0000-0000-0000-000000000000}"/>
  <bookViews>
    <workbookView xWindow="28680" yWindow="-120" windowWidth="29040" windowHeight="15840" xr2:uid="{01313177-31F0-476D-B10D-A21007077B83}"/>
  </bookViews>
  <sheets>
    <sheet name="Partidos e estados" sheetId="5" r:id="rId1"/>
    <sheet name="Dados" sheetId="3" r:id="rId2"/>
    <sheet name="Aux" sheetId="2" r:id="rId3"/>
  </sheets>
  <definedNames>
    <definedName name="_xlnm._FilterDatabase" localSheetId="2" hidden="1">Aux!$A$1:$E$1456</definedName>
    <definedName name="_xlnm._FilterDatabase" localSheetId="1" hidden="1">Dados!$A$1:$H$1400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35" i="3" l="1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M5" i="5" s="1"/>
  <c r="E21" i="2"/>
  <c r="E1456" i="2"/>
  <c r="E1455" i="2"/>
  <c r="E1454" i="2"/>
  <c r="E1453" i="2"/>
  <c r="E1452" i="2"/>
  <c r="E1451" i="2"/>
  <c r="E1450" i="2"/>
  <c r="E1449" i="2"/>
  <c r="E1448" i="2"/>
  <c r="E1447" i="2"/>
  <c r="E1446" i="2"/>
  <c r="E1445" i="2"/>
  <c r="E1444" i="2"/>
  <c r="E1443" i="2"/>
  <c r="E1442" i="2"/>
  <c r="E1441" i="2"/>
  <c r="E1440" i="2"/>
  <c r="E1439" i="2"/>
  <c r="E1438" i="2"/>
  <c r="E1437" i="2"/>
  <c r="E1436" i="2"/>
  <c r="E1435" i="2"/>
  <c r="E1434" i="2"/>
  <c r="E1433" i="2"/>
  <c r="E1432" i="2"/>
  <c r="E1431" i="2"/>
  <c r="E1430" i="2"/>
  <c r="E1429" i="2"/>
  <c r="E1428" i="2"/>
  <c r="E1427" i="2"/>
  <c r="E1426" i="2"/>
  <c r="E1425" i="2"/>
  <c r="E1424" i="2"/>
  <c r="E1423" i="2"/>
  <c r="E1422" i="2"/>
  <c r="E1421" i="2"/>
  <c r="E1420" i="2"/>
  <c r="E1419" i="2"/>
  <c r="E1418" i="2"/>
  <c r="E1417" i="2"/>
  <c r="E1416" i="2"/>
  <c r="E1415" i="2"/>
  <c r="E1414" i="2"/>
  <c r="E1413" i="2"/>
  <c r="E1412" i="2"/>
  <c r="E1411" i="2"/>
  <c r="E1410" i="2"/>
  <c r="E1409" i="2"/>
  <c r="E1408" i="2"/>
  <c r="E1407" i="2"/>
  <c r="E1406" i="2"/>
  <c r="E1405" i="2"/>
  <c r="E1404" i="2"/>
  <c r="E1403" i="2"/>
  <c r="E1402" i="2"/>
  <c r="E1401" i="2"/>
  <c r="E1400" i="2"/>
  <c r="E1399" i="2"/>
  <c r="E1398" i="2"/>
  <c r="E1397" i="2"/>
  <c r="E1396" i="2"/>
  <c r="E1395" i="2"/>
  <c r="E1394" i="2"/>
  <c r="E1393" i="2"/>
  <c r="E1392" i="2"/>
  <c r="E1391" i="2"/>
  <c r="E1390" i="2"/>
  <c r="E1389" i="2"/>
  <c r="E1388" i="2"/>
  <c r="E1387" i="2"/>
  <c r="E1386" i="2"/>
  <c r="E1385" i="2"/>
  <c r="E1384" i="2"/>
  <c r="E1383" i="2"/>
  <c r="E1382" i="2"/>
  <c r="E1381" i="2"/>
  <c r="E1380" i="2"/>
  <c r="E1379" i="2"/>
  <c r="E1378" i="2"/>
  <c r="E1377" i="2"/>
  <c r="E1376" i="2"/>
  <c r="E1375" i="2"/>
  <c r="E1374" i="2"/>
  <c r="E1373" i="2"/>
  <c r="E1372" i="2"/>
  <c r="E1371" i="2"/>
  <c r="E1370" i="2"/>
  <c r="E1369" i="2"/>
  <c r="E1368" i="2"/>
  <c r="E1367" i="2"/>
  <c r="E1366" i="2"/>
  <c r="E1365" i="2"/>
  <c r="E1364" i="2"/>
  <c r="F76" i="3" s="1"/>
  <c r="E1363" i="2"/>
  <c r="E1362" i="2"/>
  <c r="E1361" i="2"/>
  <c r="E1360" i="2"/>
  <c r="E1359" i="2"/>
  <c r="E1358" i="2"/>
  <c r="E1357" i="2"/>
  <c r="E1356" i="2"/>
  <c r="E1355" i="2"/>
  <c r="E1354" i="2"/>
  <c r="E1353" i="2"/>
  <c r="E1352" i="2"/>
  <c r="E1351" i="2"/>
  <c r="E1350" i="2"/>
  <c r="E1349" i="2"/>
  <c r="E1348" i="2"/>
  <c r="E1347" i="2"/>
  <c r="E1346" i="2"/>
  <c r="E1345" i="2"/>
  <c r="E1344" i="2"/>
  <c r="E1343" i="2"/>
  <c r="E1342" i="2"/>
  <c r="E1341" i="2"/>
  <c r="E1340" i="2"/>
  <c r="E1339" i="2"/>
  <c r="E1338" i="2"/>
  <c r="E1337" i="2"/>
  <c r="E1336" i="2"/>
  <c r="E1335" i="2"/>
  <c r="E1334" i="2"/>
  <c r="E1333" i="2"/>
  <c r="E1332" i="2"/>
  <c r="E1331" i="2"/>
  <c r="E1330" i="2"/>
  <c r="E1329" i="2"/>
  <c r="E1328" i="2"/>
  <c r="E1327" i="2"/>
  <c r="E1326" i="2"/>
  <c r="E1325" i="2"/>
  <c r="E1324" i="2"/>
  <c r="E1323" i="2"/>
  <c r="E1322" i="2"/>
  <c r="E1321" i="2"/>
  <c r="E1320" i="2"/>
  <c r="E1319" i="2"/>
  <c r="E1318" i="2"/>
  <c r="E1317" i="2"/>
  <c r="E1316" i="2"/>
  <c r="E1315" i="2"/>
  <c r="E1314" i="2"/>
  <c r="E1313" i="2"/>
  <c r="E1312" i="2"/>
  <c r="E1311" i="2"/>
  <c r="E1310" i="2"/>
  <c r="E1309" i="2"/>
  <c r="E1308" i="2"/>
  <c r="E1307" i="2"/>
  <c r="E1306" i="2"/>
  <c r="E1305" i="2"/>
  <c r="E1304" i="2"/>
  <c r="E1303" i="2"/>
  <c r="E1302" i="2"/>
  <c r="E1301" i="2"/>
  <c r="E1300" i="2"/>
  <c r="E1299" i="2"/>
  <c r="E1298" i="2"/>
  <c r="E1297" i="2"/>
  <c r="E1296" i="2"/>
  <c r="E1295" i="2"/>
  <c r="E1294" i="2"/>
  <c r="E1293" i="2"/>
  <c r="E1292" i="2"/>
  <c r="E1291" i="2"/>
  <c r="E1290" i="2"/>
  <c r="E1289" i="2"/>
  <c r="E1288" i="2"/>
  <c r="E1287" i="2"/>
  <c r="E1286" i="2"/>
  <c r="E1285" i="2"/>
  <c r="E1284" i="2"/>
  <c r="E1283" i="2"/>
  <c r="E1282" i="2"/>
  <c r="E1281" i="2"/>
  <c r="E1280" i="2"/>
  <c r="E1279" i="2"/>
  <c r="E1278" i="2"/>
  <c r="E1277" i="2"/>
  <c r="E1276" i="2"/>
  <c r="E1275" i="2"/>
  <c r="E1274" i="2"/>
  <c r="E1273" i="2"/>
  <c r="E1272" i="2"/>
  <c r="E1271" i="2"/>
  <c r="E1270" i="2"/>
  <c r="E1269" i="2"/>
  <c r="F849" i="3" s="1"/>
  <c r="E1268" i="2"/>
  <c r="E1267" i="2"/>
  <c r="E1266" i="2"/>
  <c r="E1265" i="2"/>
  <c r="E1264" i="2"/>
  <c r="E1263" i="2"/>
  <c r="E1262" i="2"/>
  <c r="E1261" i="2"/>
  <c r="E1260" i="2"/>
  <c r="E1259" i="2"/>
  <c r="E1258" i="2"/>
  <c r="E1257" i="2"/>
  <c r="E1256" i="2"/>
  <c r="E1255" i="2"/>
  <c r="E1254" i="2"/>
  <c r="E1253" i="2"/>
  <c r="E1252" i="2"/>
  <c r="E1251" i="2"/>
  <c r="E1250" i="2"/>
  <c r="E1249" i="2"/>
  <c r="E1248" i="2"/>
  <c r="E1247" i="2"/>
  <c r="E1246" i="2"/>
  <c r="E1245" i="2"/>
  <c r="E1244" i="2"/>
  <c r="E1243" i="2"/>
  <c r="E1242" i="2"/>
  <c r="E1241" i="2"/>
  <c r="E1240" i="2"/>
  <c r="E1239" i="2"/>
  <c r="E1238" i="2"/>
  <c r="E1237" i="2"/>
  <c r="E1236" i="2"/>
  <c r="E1235" i="2"/>
  <c r="E1234" i="2"/>
  <c r="E1233" i="2"/>
  <c r="E1232" i="2"/>
  <c r="E1231" i="2"/>
  <c r="E1230" i="2"/>
  <c r="E1229" i="2"/>
  <c r="E1228" i="2"/>
  <c r="F178" i="3" s="1"/>
  <c r="E1227" i="2"/>
  <c r="E1226" i="2"/>
  <c r="E1225" i="2"/>
  <c r="E1224" i="2"/>
  <c r="E1223" i="2"/>
  <c r="E1222" i="2"/>
  <c r="E1221" i="2"/>
  <c r="E1220" i="2"/>
  <c r="E1219" i="2"/>
  <c r="E1218" i="2"/>
  <c r="E1217" i="2"/>
  <c r="E1216" i="2"/>
  <c r="E1215" i="2"/>
  <c r="E1214" i="2"/>
  <c r="E1213" i="2"/>
  <c r="E1212" i="2"/>
  <c r="E1211" i="2"/>
  <c r="E1210" i="2"/>
  <c r="E1209" i="2"/>
  <c r="E1208" i="2"/>
  <c r="E1207" i="2"/>
  <c r="E1206" i="2"/>
  <c r="E1205" i="2"/>
  <c r="E1204" i="2"/>
  <c r="E1203" i="2"/>
  <c r="E1202" i="2"/>
  <c r="E1201" i="2"/>
  <c r="E1200" i="2"/>
  <c r="E1199" i="2"/>
  <c r="E1198" i="2"/>
  <c r="E1197" i="2"/>
  <c r="E1196" i="2"/>
  <c r="E1195" i="2"/>
  <c r="E1194" i="2"/>
  <c r="E1193" i="2"/>
  <c r="E1192" i="2"/>
  <c r="E1191" i="2"/>
  <c r="E1190" i="2"/>
  <c r="E1189" i="2"/>
  <c r="E1188" i="2"/>
  <c r="E1187" i="2"/>
  <c r="E1186" i="2"/>
  <c r="E1185" i="2"/>
  <c r="E1184" i="2"/>
  <c r="E1183" i="2"/>
  <c r="E1182" i="2"/>
  <c r="E1181" i="2"/>
  <c r="E1180" i="2"/>
  <c r="E1179" i="2"/>
  <c r="E1178" i="2"/>
  <c r="E1177" i="2"/>
  <c r="E1176" i="2"/>
  <c r="E1175" i="2"/>
  <c r="E1174" i="2"/>
  <c r="E1173" i="2"/>
  <c r="E1172" i="2"/>
  <c r="E1171" i="2"/>
  <c r="E1170" i="2"/>
  <c r="E1169" i="2"/>
  <c r="E1168" i="2"/>
  <c r="F2" i="3" s="1"/>
  <c r="E1167" i="2"/>
  <c r="E1166" i="2"/>
  <c r="E1165" i="2"/>
  <c r="E1164" i="2"/>
  <c r="E1163" i="2"/>
  <c r="E1162" i="2"/>
  <c r="E1161" i="2"/>
  <c r="E1160" i="2"/>
  <c r="E1159" i="2"/>
  <c r="E1158" i="2"/>
  <c r="E1157" i="2"/>
  <c r="E1156" i="2"/>
  <c r="E1155" i="2"/>
  <c r="E1154" i="2"/>
  <c r="E1153" i="2"/>
  <c r="E1152" i="2"/>
  <c r="E1151" i="2"/>
  <c r="E1150" i="2"/>
  <c r="E1149" i="2"/>
  <c r="E1148" i="2"/>
  <c r="E1147" i="2"/>
  <c r="E1146" i="2"/>
  <c r="E1145" i="2"/>
  <c r="E1144" i="2"/>
  <c r="E1143" i="2"/>
  <c r="E1142" i="2"/>
  <c r="E1141" i="2"/>
  <c r="E1140" i="2"/>
  <c r="E1139" i="2"/>
  <c r="E1138" i="2"/>
  <c r="E1137" i="2"/>
  <c r="E1136" i="2"/>
  <c r="E1135" i="2"/>
  <c r="E1134" i="2"/>
  <c r="E1133" i="2"/>
  <c r="E1132" i="2"/>
  <c r="E1131" i="2"/>
  <c r="E1130" i="2"/>
  <c r="F96" i="3" s="1"/>
  <c r="E1129" i="2"/>
  <c r="E1128" i="2"/>
  <c r="E1127" i="2"/>
  <c r="E1126" i="2"/>
  <c r="E1125" i="2"/>
  <c r="E1124" i="2"/>
  <c r="E1123" i="2"/>
  <c r="E1122" i="2"/>
  <c r="E1121" i="2"/>
  <c r="E1120" i="2"/>
  <c r="E1119" i="2"/>
  <c r="E1118" i="2"/>
  <c r="E1117" i="2"/>
  <c r="E1116" i="2"/>
  <c r="E1115" i="2"/>
  <c r="E1114" i="2"/>
  <c r="E1113" i="2"/>
  <c r="E1112" i="2"/>
  <c r="E1111" i="2"/>
  <c r="E1110" i="2"/>
  <c r="E1109" i="2"/>
  <c r="E1108" i="2"/>
  <c r="E1107" i="2"/>
  <c r="E1106" i="2"/>
  <c r="E1105" i="2"/>
  <c r="E1104" i="2"/>
  <c r="E1103" i="2"/>
  <c r="E1102" i="2"/>
  <c r="E1101" i="2"/>
  <c r="E1100" i="2"/>
  <c r="E1099" i="2"/>
  <c r="E1098" i="2"/>
  <c r="E1097" i="2"/>
  <c r="E1096" i="2"/>
  <c r="E1095" i="2"/>
  <c r="E1094" i="2"/>
  <c r="E1093" i="2"/>
  <c r="E1092" i="2"/>
  <c r="E1091" i="2"/>
  <c r="E1090" i="2"/>
  <c r="E1089" i="2"/>
  <c r="E1088" i="2"/>
  <c r="E1087" i="2"/>
  <c r="E1086" i="2"/>
  <c r="E1085" i="2"/>
  <c r="E1084" i="2"/>
  <c r="E1083" i="2"/>
  <c r="E1082" i="2"/>
  <c r="E1081" i="2"/>
  <c r="E1080" i="2"/>
  <c r="E1079" i="2"/>
  <c r="E1078" i="2"/>
  <c r="E1077" i="2"/>
  <c r="E1076" i="2"/>
  <c r="E1075" i="2"/>
  <c r="E1074" i="2"/>
  <c r="E1073" i="2"/>
  <c r="E1072" i="2"/>
  <c r="E1071" i="2"/>
  <c r="E1070" i="2"/>
  <c r="E1069" i="2"/>
  <c r="E1068" i="2"/>
  <c r="E1067" i="2"/>
  <c r="E1066" i="2"/>
  <c r="E1065" i="2"/>
  <c r="E1064" i="2"/>
  <c r="E1063" i="2"/>
  <c r="E1062" i="2"/>
  <c r="E1061" i="2"/>
  <c r="E1060" i="2"/>
  <c r="E1059" i="2"/>
  <c r="E1058" i="2"/>
  <c r="E1057" i="2"/>
  <c r="E1056" i="2"/>
  <c r="E1055" i="2"/>
  <c r="E1054" i="2"/>
  <c r="E1053" i="2"/>
  <c r="F1319" i="3" s="1"/>
  <c r="E1052" i="2"/>
  <c r="E1051" i="2"/>
  <c r="E1050" i="2"/>
  <c r="E1049" i="2"/>
  <c r="E1048" i="2"/>
  <c r="E1047" i="2"/>
  <c r="E1046" i="2"/>
  <c r="E1045" i="2"/>
  <c r="E1044" i="2"/>
  <c r="E1043" i="2"/>
  <c r="E1042" i="2"/>
  <c r="E1041" i="2"/>
  <c r="E1040" i="2"/>
  <c r="E1039" i="2"/>
  <c r="E1038" i="2"/>
  <c r="E1037" i="2"/>
  <c r="E1036" i="2"/>
  <c r="E1035" i="2"/>
  <c r="E1034" i="2"/>
  <c r="E1033" i="2"/>
  <c r="E1032" i="2"/>
  <c r="E1031" i="2"/>
  <c r="E1030" i="2"/>
  <c r="E1029" i="2"/>
  <c r="E1028" i="2"/>
  <c r="E1027" i="2"/>
  <c r="E1026" i="2"/>
  <c r="E1025" i="2"/>
  <c r="E1024" i="2"/>
  <c r="E1023" i="2"/>
  <c r="E1022" i="2"/>
  <c r="E1021" i="2"/>
  <c r="E1020" i="2"/>
  <c r="E1019" i="2"/>
  <c r="E1018" i="2"/>
  <c r="E1017" i="2"/>
  <c r="E1016" i="2"/>
  <c r="E1015" i="2"/>
  <c r="E1014" i="2"/>
  <c r="E1013" i="2"/>
  <c r="E1012" i="2"/>
  <c r="E1011" i="2"/>
  <c r="E1010" i="2"/>
  <c r="E1009" i="2"/>
  <c r="E1008" i="2"/>
  <c r="E1007" i="2"/>
  <c r="E1006" i="2"/>
  <c r="E1005" i="2"/>
  <c r="E1004" i="2"/>
  <c r="E1003" i="2"/>
  <c r="E1002" i="2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F423" i="3" s="1"/>
  <c r="E899" i="2"/>
  <c r="E898" i="2"/>
  <c r="E897" i="2"/>
  <c r="E896" i="2"/>
  <c r="E895" i="2"/>
  <c r="E894" i="2"/>
  <c r="E893" i="2"/>
  <c r="F394" i="3" s="1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F435" i="3" s="1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F695" i="3" s="1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F1262" i="3" s="1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F1178" i="3" s="1"/>
  <c r="E727" i="2"/>
  <c r="E726" i="2"/>
  <c r="F218" i="3" s="1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F344" i="3" s="1"/>
  <c r="E669" i="2"/>
  <c r="E668" i="2"/>
  <c r="E667" i="2"/>
  <c r="E666" i="2"/>
  <c r="E665" i="2"/>
  <c r="E664" i="2"/>
  <c r="E663" i="2"/>
  <c r="F299" i="3" s="1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F214" i="3" s="1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F330" i="3" s="1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F702" i="3" s="1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F135" i="3" s="1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F249" i="3" s="1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F128" i="3" s="1"/>
  <c r="E477" i="2"/>
  <c r="F411" i="3" s="1"/>
  <c r="E476" i="2"/>
  <c r="E475" i="2"/>
  <c r="E474" i="2"/>
  <c r="E473" i="2"/>
  <c r="E472" i="2"/>
  <c r="E471" i="2"/>
  <c r="E470" i="2"/>
  <c r="E469" i="2"/>
  <c r="E468" i="2"/>
  <c r="F206" i="3" s="1"/>
  <c r="E467" i="2"/>
  <c r="E466" i="2"/>
  <c r="E465" i="2"/>
  <c r="E464" i="2"/>
  <c r="F278" i="3" s="1"/>
  <c r="E463" i="2"/>
  <c r="F346" i="3" s="1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F542" i="3" s="1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F355" i="3" s="1"/>
  <c r="E406" i="2"/>
  <c r="E405" i="2"/>
  <c r="F742" i="3" s="1"/>
  <c r="E404" i="2"/>
  <c r="E403" i="2"/>
  <c r="E402" i="2"/>
  <c r="E401" i="2"/>
  <c r="E400" i="2"/>
  <c r="E399" i="2"/>
  <c r="E398" i="2"/>
  <c r="F545" i="3" s="1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F77" i="3" s="1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F701" i="3" s="1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F173" i="3" s="1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F70" i="3" s="1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F688" i="3" s="1"/>
  <c r="E275" i="2"/>
  <c r="E274" i="2"/>
  <c r="E273" i="2"/>
  <c r="E272" i="2"/>
  <c r="E271" i="2"/>
  <c r="E270" i="2"/>
  <c r="E269" i="2"/>
  <c r="E268" i="2"/>
  <c r="E267" i="2"/>
  <c r="E266" i="2"/>
  <c r="F255" i="3" s="1"/>
  <c r="E265" i="2"/>
  <c r="E264" i="2"/>
  <c r="E263" i="2"/>
  <c r="E262" i="2"/>
  <c r="E261" i="2"/>
  <c r="E260" i="2"/>
  <c r="E259" i="2"/>
  <c r="E258" i="2"/>
  <c r="E257" i="2"/>
  <c r="F142" i="3" s="1"/>
  <c r="E256" i="2"/>
  <c r="E255" i="2"/>
  <c r="E254" i="2"/>
  <c r="E253" i="2"/>
  <c r="F460" i="3" s="1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F78" i="3" s="1"/>
  <c r="E235" i="2"/>
  <c r="E234" i="2"/>
  <c r="F110" i="3" s="1"/>
  <c r="E233" i="2"/>
  <c r="E232" i="2"/>
  <c r="E231" i="2"/>
  <c r="E230" i="2"/>
  <c r="E229" i="2"/>
  <c r="E228" i="2"/>
  <c r="E227" i="2"/>
  <c r="E226" i="2"/>
  <c r="E225" i="2"/>
  <c r="E224" i="2"/>
  <c r="E223" i="2"/>
  <c r="F29" i="3" s="1"/>
  <c r="E222" i="2"/>
  <c r="E221" i="2"/>
  <c r="E220" i="2"/>
  <c r="E219" i="2"/>
  <c r="E218" i="2"/>
  <c r="E217" i="2"/>
  <c r="E216" i="2"/>
  <c r="E215" i="2"/>
  <c r="F517" i="3" s="1"/>
  <c r="E214" i="2"/>
  <c r="E213" i="2"/>
  <c r="E212" i="2"/>
  <c r="E211" i="2"/>
  <c r="E210" i="2"/>
  <c r="E209" i="2"/>
  <c r="E208" i="2"/>
  <c r="E207" i="2"/>
  <c r="F55" i="3" s="1"/>
  <c r="E206" i="2"/>
  <c r="E205" i="2"/>
  <c r="E204" i="2"/>
  <c r="F366" i="3" s="1"/>
  <c r="E203" i="2"/>
  <c r="E202" i="2"/>
  <c r="E201" i="2"/>
  <c r="E200" i="2"/>
  <c r="E199" i="2"/>
  <c r="E198" i="2"/>
  <c r="F166" i="3" s="1"/>
  <c r="E197" i="2"/>
  <c r="E196" i="2"/>
  <c r="F87" i="3" s="1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F557" i="3" s="1"/>
  <c r="E180" i="2"/>
  <c r="E179" i="2"/>
  <c r="E178" i="2"/>
  <c r="E177" i="2"/>
  <c r="E176" i="2"/>
  <c r="E175" i="2"/>
  <c r="E174" i="2"/>
  <c r="E173" i="2"/>
  <c r="E172" i="2"/>
  <c r="E171" i="2"/>
  <c r="F520" i="3" s="1"/>
  <c r="E170" i="2"/>
  <c r="E169" i="2"/>
  <c r="E168" i="2"/>
  <c r="F590" i="3" s="1"/>
  <c r="E167" i="2"/>
  <c r="E166" i="2"/>
  <c r="E165" i="2"/>
  <c r="E164" i="2"/>
  <c r="E163" i="2"/>
  <c r="E162" i="2"/>
  <c r="E161" i="2"/>
  <c r="E160" i="2"/>
  <c r="F183" i="3" s="1"/>
  <c r="E159" i="2"/>
  <c r="E158" i="2"/>
  <c r="E157" i="2"/>
  <c r="E156" i="2"/>
  <c r="E155" i="2"/>
  <c r="F230" i="3" s="1"/>
  <c r="E154" i="2"/>
  <c r="E153" i="2"/>
  <c r="E152" i="2"/>
  <c r="E151" i="2"/>
  <c r="E150" i="2"/>
  <c r="E149" i="2"/>
  <c r="F682" i="3" s="1"/>
  <c r="E148" i="2"/>
  <c r="E147" i="2"/>
  <c r="E146" i="2"/>
  <c r="E145" i="2"/>
  <c r="E144" i="2"/>
  <c r="E143" i="2"/>
  <c r="E142" i="2"/>
  <c r="E141" i="2"/>
  <c r="E140" i="2"/>
  <c r="F320" i="3" s="1"/>
  <c r="E139" i="2"/>
  <c r="E138" i="2"/>
  <c r="E137" i="2"/>
  <c r="E136" i="2"/>
  <c r="F276" i="3" s="1"/>
  <c r="E135" i="2"/>
  <c r="E134" i="2"/>
  <c r="F133" i="3" s="1"/>
  <c r="E133" i="2"/>
  <c r="E132" i="2"/>
  <c r="F26" i="3" s="1"/>
  <c r="E131" i="2"/>
  <c r="E130" i="2"/>
  <c r="E129" i="2"/>
  <c r="E128" i="2"/>
  <c r="E127" i="2"/>
  <c r="E126" i="2"/>
  <c r="E125" i="2"/>
  <c r="E124" i="2"/>
  <c r="F476" i="3" s="1"/>
  <c r="E123" i="2"/>
  <c r="E122" i="2"/>
  <c r="E121" i="2"/>
  <c r="E120" i="2"/>
  <c r="E119" i="2"/>
  <c r="E118" i="2"/>
  <c r="E117" i="2"/>
  <c r="F215" i="3" s="1"/>
  <c r="E116" i="2"/>
  <c r="E115" i="2"/>
  <c r="E114" i="2"/>
  <c r="E113" i="2"/>
  <c r="F499" i="3" s="1"/>
  <c r="E112" i="2"/>
  <c r="E111" i="2"/>
  <c r="F181" i="3" s="1"/>
  <c r="E110" i="2"/>
  <c r="E109" i="2"/>
  <c r="E108" i="2"/>
  <c r="E107" i="2"/>
  <c r="E106" i="2"/>
  <c r="E105" i="2"/>
  <c r="E104" i="2"/>
  <c r="E103" i="2"/>
  <c r="E102" i="2"/>
  <c r="F420" i="3" s="1"/>
  <c r="E101" i="2"/>
  <c r="E100" i="2"/>
  <c r="E99" i="2"/>
  <c r="E98" i="2"/>
  <c r="E97" i="2"/>
  <c r="E96" i="2"/>
  <c r="F221" i="3" s="1"/>
  <c r="E95" i="2"/>
  <c r="F69" i="3" s="1"/>
  <c r="E94" i="2"/>
  <c r="E93" i="2"/>
  <c r="E92" i="2"/>
  <c r="E91" i="2"/>
  <c r="F259" i="3" s="1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F57" i="3" s="1"/>
  <c r="E71" i="2"/>
  <c r="F508" i="3" s="1"/>
  <c r="E70" i="2"/>
  <c r="E69" i="2"/>
  <c r="E68" i="2"/>
  <c r="E67" i="2"/>
  <c r="E66" i="2"/>
  <c r="E65" i="2"/>
  <c r="E64" i="2"/>
  <c r="E63" i="2"/>
  <c r="F497" i="3" s="1"/>
  <c r="E62" i="2"/>
  <c r="E61" i="2"/>
  <c r="E60" i="2"/>
  <c r="E59" i="2"/>
  <c r="E58" i="2"/>
  <c r="E57" i="2"/>
  <c r="E56" i="2"/>
  <c r="E55" i="2"/>
  <c r="E54" i="2"/>
  <c r="F180" i="3" s="1"/>
  <c r="E53" i="2"/>
  <c r="E52" i="2"/>
  <c r="E51" i="2"/>
  <c r="E50" i="2"/>
  <c r="E49" i="2"/>
  <c r="E48" i="2"/>
  <c r="E47" i="2"/>
  <c r="E46" i="2"/>
  <c r="E45" i="2"/>
  <c r="E44" i="2"/>
  <c r="E43" i="2"/>
  <c r="F225" i="3" s="1"/>
  <c r="E42" i="2"/>
  <c r="E41" i="2"/>
  <c r="F414" i="3" s="1"/>
  <c r="E40" i="2"/>
  <c r="E39" i="2"/>
  <c r="E38" i="2"/>
  <c r="F161" i="3" s="1"/>
  <c r="E37" i="2"/>
  <c r="E36" i="2"/>
  <c r="E35" i="2"/>
  <c r="E34" i="2"/>
  <c r="E33" i="2"/>
  <c r="E32" i="2"/>
  <c r="E31" i="2"/>
  <c r="E30" i="2"/>
  <c r="F798" i="3" s="1"/>
  <c r="E29" i="2"/>
  <c r="E28" i="2"/>
  <c r="E27" i="2"/>
  <c r="E26" i="2"/>
  <c r="E25" i="2"/>
  <c r="F388" i="3" s="1"/>
  <c r="E24" i="2"/>
  <c r="E23" i="2"/>
  <c r="F405" i="3" s="1"/>
  <c r="E22" i="2"/>
  <c r="E20" i="2"/>
  <c r="E19" i="2"/>
  <c r="E18" i="2"/>
  <c r="E17" i="2"/>
  <c r="E16" i="2"/>
  <c r="E15" i="2"/>
  <c r="E14" i="2"/>
  <c r="F150" i="3" s="1"/>
  <c r="E13" i="2"/>
  <c r="E12" i="2"/>
  <c r="E11" i="2"/>
  <c r="E10" i="2"/>
  <c r="E9" i="2"/>
  <c r="E8" i="2"/>
  <c r="E7" i="2"/>
  <c r="E6" i="2"/>
  <c r="E5" i="2"/>
  <c r="E4" i="2"/>
  <c r="E3" i="2"/>
  <c r="E2" i="2"/>
  <c r="F818" i="3" l="1"/>
  <c r="F684" i="3"/>
  <c r="F560" i="3"/>
  <c r="F325" i="3"/>
  <c r="F281" i="3"/>
  <c r="F877" i="3"/>
  <c r="F896" i="3"/>
  <c r="F879" i="3"/>
  <c r="F638" i="3"/>
  <c r="F576" i="3"/>
  <c r="F334" i="3"/>
  <c r="F313" i="3"/>
  <c r="F456" i="3"/>
  <c r="F368" i="3"/>
  <c r="F268" i="3"/>
  <c r="F583" i="3"/>
  <c r="F721" i="3"/>
  <c r="F269" i="3"/>
  <c r="F1327" i="3"/>
  <c r="F1300" i="3"/>
  <c r="F536" i="3"/>
  <c r="F687" i="3"/>
  <c r="F486" i="3"/>
  <c r="F637" i="3"/>
  <c r="F280" i="3"/>
  <c r="F598" i="3"/>
  <c r="F580" i="3"/>
  <c r="F552" i="3"/>
  <c r="F540" i="3"/>
  <c r="F515" i="3"/>
  <c r="F945" i="3"/>
  <c r="F941" i="3"/>
  <c r="F925" i="3"/>
  <c r="F935" i="3"/>
  <c r="F1141" i="3"/>
  <c r="F1149" i="3"/>
  <c r="F306" i="3"/>
  <c r="F816" i="3"/>
  <c r="F442" i="3"/>
  <c r="F370" i="3"/>
  <c r="F318" i="3"/>
  <c r="F393" i="3"/>
  <c r="F345" i="3"/>
  <c r="F1296" i="3"/>
  <c r="F1277" i="3"/>
  <c r="F1302" i="3"/>
  <c r="F966" i="3"/>
  <c r="F1072" i="3"/>
  <c r="F1117" i="3"/>
  <c r="F646" i="3"/>
  <c r="F531" i="3"/>
  <c r="F1252" i="3"/>
  <c r="F1267" i="3"/>
  <c r="F1261" i="3"/>
  <c r="F950" i="3"/>
  <c r="F961" i="3"/>
  <c r="F450" i="3"/>
  <c r="F382" i="3"/>
  <c r="F433" i="3"/>
  <c r="F977" i="3"/>
  <c r="F968" i="3"/>
  <c r="F770" i="3"/>
  <c r="F622" i="3"/>
  <c r="F614" i="3"/>
  <c r="F594" i="3"/>
  <c r="F784" i="3"/>
  <c r="F724" i="3"/>
  <c r="F544" i="3"/>
  <c r="F735" i="3"/>
  <c r="F547" i="3"/>
  <c r="F431" i="3"/>
  <c r="F817" i="3"/>
  <c r="F611" i="3"/>
  <c r="F733" i="3"/>
  <c r="F408" i="3"/>
  <c r="F300" i="3"/>
  <c r="F1398" i="3"/>
  <c r="F1394" i="3"/>
  <c r="F1386" i="3"/>
  <c r="F1396" i="3"/>
  <c r="F1399" i="3"/>
  <c r="F1172" i="3"/>
  <c r="F1176" i="3"/>
  <c r="F1306" i="3"/>
  <c r="F1308" i="3"/>
  <c r="F898" i="3"/>
  <c r="F884" i="3"/>
  <c r="F891" i="3"/>
  <c r="F454" i="3"/>
  <c r="F641" i="3"/>
  <c r="F571" i="3"/>
  <c r="F485" i="3"/>
  <c r="F332" i="3"/>
  <c r="F312" i="3"/>
  <c r="F1338" i="3"/>
  <c r="F1329" i="3"/>
  <c r="F1349" i="3"/>
  <c r="F1339" i="3"/>
  <c r="F1328" i="3"/>
  <c r="F1348" i="3"/>
  <c r="F1343" i="3"/>
  <c r="F942" i="3"/>
  <c r="F938" i="3"/>
  <c r="F934" i="3"/>
  <c r="F937" i="3"/>
  <c r="F929" i="3"/>
  <c r="F940" i="3"/>
  <c r="F932" i="3"/>
  <c r="F928" i="3"/>
  <c r="F924" i="3"/>
  <c r="F931" i="3"/>
  <c r="F674" i="3"/>
  <c r="F680" i="3"/>
  <c r="F338" i="3"/>
  <c r="F554" i="3"/>
  <c r="F1226" i="3"/>
  <c r="F1214" i="3"/>
  <c r="F1210" i="3"/>
  <c r="F1217" i="3"/>
  <c r="F1227" i="3"/>
  <c r="F1215" i="3"/>
  <c r="F1219" i="3"/>
  <c r="F1208" i="3"/>
  <c r="F1014" i="3"/>
  <c r="F1041" i="3"/>
  <c r="F1024" i="3"/>
  <c r="F756" i="3"/>
  <c r="F743" i="3"/>
  <c r="F289" i="3"/>
  <c r="F586" i="3"/>
  <c r="F588" i="3"/>
  <c r="F260" i="3"/>
  <c r="F787" i="3"/>
  <c r="F403" i="3"/>
  <c r="F1206" i="3"/>
  <c r="F1202" i="3"/>
  <c r="F1207" i="3"/>
  <c r="F1196" i="3"/>
  <c r="F1200" i="3"/>
  <c r="F957" i="3"/>
  <c r="F953" i="3"/>
  <c r="F956" i="3"/>
  <c r="F951" i="3"/>
  <c r="F948" i="3"/>
  <c r="F1205" i="3"/>
  <c r="F1203" i="3"/>
  <c r="F1197" i="3"/>
  <c r="F1034" i="3"/>
  <c r="F1022" i="3"/>
  <c r="F1040" i="3"/>
  <c r="F1016" i="3"/>
  <c r="F1035" i="3"/>
  <c r="F1031" i="3"/>
  <c r="F606" i="3"/>
  <c r="F799" i="3"/>
  <c r="F401" i="3"/>
  <c r="F1105" i="3"/>
  <c r="F1100" i="3"/>
  <c r="F1095" i="3"/>
  <c r="F1113" i="3"/>
  <c r="F1097" i="3"/>
  <c r="F1385" i="3"/>
  <c r="F1395" i="3"/>
  <c r="F848" i="3"/>
  <c r="F831" i="3"/>
  <c r="F335" i="3"/>
  <c r="F458" i="3"/>
  <c r="F521" i="3"/>
  <c r="F441" i="3"/>
  <c r="F1212" i="3"/>
  <c r="F1019" i="3"/>
  <c r="F826" i="3"/>
  <c r="F822" i="3"/>
  <c r="F774" i="3"/>
  <c r="F809" i="3"/>
  <c r="F1280" i="3"/>
  <c r="F992" i="3"/>
  <c r="F376" i="3"/>
  <c r="F747" i="3"/>
  <c r="F681" i="3"/>
  <c r="F609" i="3"/>
  <c r="F889" i="3"/>
  <c r="F883" i="3"/>
  <c r="F778" i="3"/>
  <c r="F640" i="3"/>
  <c r="F651" i="3"/>
  <c r="F482" i="3"/>
  <c r="F512" i="3"/>
  <c r="F532" i="3"/>
  <c r="F377" i="3"/>
  <c r="F792" i="3"/>
  <c r="F760" i="3"/>
  <c r="F691" i="3"/>
  <c r="F445" i="3"/>
  <c r="F726" i="3"/>
  <c r="F656" i="3"/>
  <c r="F530" i="3"/>
  <c r="F581" i="3"/>
  <c r="F902" i="3"/>
  <c r="F904" i="3"/>
  <c r="F915" i="3"/>
  <c r="F752" i="3"/>
  <c r="F427" i="3"/>
  <c r="F625" i="3"/>
  <c r="F449" i="3"/>
  <c r="F480" i="3"/>
  <c r="F719" i="3"/>
  <c r="F455" i="3"/>
  <c r="F595" i="3"/>
  <c r="F424" i="3"/>
  <c r="F384" i="3"/>
  <c r="F762" i="3"/>
  <c r="F610" i="3"/>
  <c r="F736" i="3"/>
  <c r="F564" i="3"/>
  <c r="F819" i="3"/>
  <c r="F418" i="3"/>
  <c r="F373" i="3"/>
  <c r="F828" i="3"/>
  <c r="F843" i="3"/>
  <c r="F802" i="3"/>
  <c r="F800" i="3"/>
  <c r="F780" i="3"/>
  <c r="F664" i="3"/>
  <c r="F524" i="3"/>
  <c r="F661" i="3"/>
  <c r="F525" i="3"/>
  <c r="F466" i="3"/>
  <c r="F801" i="3"/>
  <c r="F509" i="3"/>
  <c r="F690" i="3"/>
  <c r="F541" i="3"/>
  <c r="F964" i="3"/>
  <c r="F979" i="3"/>
  <c r="F1148" i="3"/>
  <c r="F1163" i="3"/>
  <c r="F1145" i="3"/>
  <c r="F1140" i="3"/>
  <c r="F639" i="3"/>
  <c r="F567" i="3"/>
  <c r="F753" i="3"/>
  <c r="F518" i="3"/>
  <c r="F331" i="3"/>
  <c r="F629" i="3"/>
  <c r="F386" i="3"/>
  <c r="F362" i="3"/>
  <c r="F1110" i="3"/>
  <c r="F1094" i="3"/>
  <c r="F1109" i="3"/>
  <c r="F1103" i="3"/>
  <c r="F1101" i="3"/>
  <c r="F1009" i="3"/>
  <c r="F993" i="3"/>
  <c r="F989" i="3"/>
  <c r="F1004" i="3"/>
  <c r="F543" i="3"/>
  <c r="F264" i="3"/>
  <c r="F1317" i="3"/>
  <c r="F1299" i="3"/>
  <c r="F1190" i="3"/>
  <c r="F1180" i="3"/>
  <c r="F1175" i="3"/>
  <c r="F1187" i="3"/>
  <c r="F1165" i="3"/>
  <c r="F1018" i="3"/>
  <c r="F1033" i="3"/>
  <c r="F1029" i="3"/>
  <c r="F1025" i="3"/>
  <c r="F1013" i="3"/>
  <c r="F1028" i="3"/>
  <c r="F1020" i="3"/>
  <c r="F1039" i="3"/>
  <c r="F1015" i="3"/>
  <c r="F686" i="3"/>
  <c r="F642" i="3"/>
  <c r="F707" i="3"/>
  <c r="F507" i="3"/>
  <c r="F493" i="3"/>
  <c r="F1138" i="3"/>
  <c r="F1159" i="3"/>
  <c r="F1151" i="3"/>
  <c r="F1239" i="3"/>
  <c r="F1228" i="3"/>
  <c r="F810" i="3"/>
  <c r="F750" i="3"/>
  <c r="F737" i="3"/>
  <c r="F1397" i="3"/>
  <c r="F1381" i="3"/>
  <c r="F1400" i="3"/>
  <c r="F1392" i="3"/>
  <c r="F1388" i="3"/>
  <c r="F1384" i="3"/>
  <c r="F1391" i="3"/>
  <c r="F1387" i="3"/>
  <c r="F1383" i="3"/>
  <c r="F718" i="3"/>
  <c r="F383" i="3"/>
  <c r="F789" i="3"/>
  <c r="F577" i="3"/>
  <c r="F501" i="3"/>
  <c r="F608" i="3"/>
  <c r="F807" i="3"/>
  <c r="F854" i="3"/>
  <c r="F867" i="3"/>
  <c r="F863" i="3"/>
  <c r="F1166" i="3"/>
  <c r="F1185" i="3"/>
  <c r="F1168" i="3"/>
  <c r="F620" i="3"/>
  <c r="F526" i="3"/>
  <c r="F527" i="3"/>
  <c r="F654" i="3"/>
  <c r="F716" i="3"/>
  <c r="F696" i="3"/>
  <c r="F528" i="3"/>
  <c r="F663" i="3"/>
  <c r="F475" i="3"/>
  <c r="F375" i="3"/>
  <c r="F474" i="3"/>
  <c r="F566" i="3"/>
  <c r="F444" i="3"/>
  <c r="F348" i="3"/>
  <c r="F1350" i="3"/>
  <c r="F1342" i="3"/>
  <c r="F1330" i="3"/>
  <c r="F1337" i="3"/>
  <c r="F1341" i="3"/>
  <c r="F874" i="3"/>
  <c r="F866" i="3"/>
  <c r="F862" i="3"/>
  <c r="F869" i="3"/>
  <c r="F868" i="3"/>
  <c r="F871" i="3"/>
  <c r="F855" i="3"/>
  <c r="F865" i="3"/>
  <c r="F392" i="3"/>
  <c r="F316" i="3"/>
  <c r="F1301" i="3"/>
  <c r="F1311" i="3"/>
  <c r="F1320" i="3"/>
  <c r="F1269" i="3"/>
  <c r="F1251" i="3"/>
  <c r="F1366" i="3"/>
  <c r="F1377" i="3"/>
  <c r="F1373" i="3"/>
  <c r="F1376" i="3"/>
  <c r="F1371" i="3"/>
  <c r="F385" i="3"/>
  <c r="F285" i="3"/>
  <c r="F758" i="3"/>
  <c r="F563" i="3"/>
  <c r="F709" i="3"/>
  <c r="F974" i="3"/>
  <c r="F981" i="3"/>
  <c r="F969" i="3"/>
  <c r="F965" i="3"/>
  <c r="F990" i="3"/>
  <c r="F999" i="3"/>
  <c r="F1222" i="3"/>
  <c r="F1218" i="3"/>
  <c r="F1216" i="3"/>
  <c r="F1211" i="3"/>
  <c r="F1225" i="3"/>
  <c r="F1220" i="3"/>
  <c r="F1209" i="3"/>
  <c r="F1224" i="3"/>
  <c r="F1213" i="3"/>
  <c r="F1191" i="3"/>
  <c r="F1169" i="3"/>
  <c r="F692" i="3"/>
  <c r="F422" i="3"/>
  <c r="F468" i="3"/>
  <c r="F436" i="3"/>
  <c r="F1278" i="3"/>
  <c r="F1287" i="3"/>
  <c r="F978" i="3"/>
  <c r="F985" i="3"/>
  <c r="F972" i="3"/>
  <c r="F971" i="3"/>
  <c r="F967" i="3"/>
  <c r="F872" i="3"/>
  <c r="F875" i="3"/>
  <c r="F857" i="3"/>
  <c r="F783" i="3"/>
  <c r="F535" i="3"/>
  <c r="F673" i="3"/>
  <c r="F1154" i="3"/>
  <c r="F1150" i="3"/>
  <c r="F1146" i="3"/>
  <c r="F1143" i="3"/>
  <c r="F1152" i="3"/>
  <c r="F1160" i="3"/>
  <c r="F1144" i="3"/>
  <c r="F763" i="3"/>
  <c r="F470" i="3"/>
  <c r="F806" i="3"/>
  <c r="F790" i="3"/>
  <c r="F824" i="3"/>
  <c r="F814" i="3"/>
  <c r="F771" i="3"/>
  <c r="F604" i="3"/>
  <c r="F396" i="3"/>
  <c r="F272" i="3"/>
  <c r="F1358" i="3"/>
  <c r="F1354" i="3"/>
  <c r="F1360" i="3"/>
  <c r="F1352" i="3"/>
  <c r="F479" i="3"/>
  <c r="F773" i="3"/>
  <c r="F434" i="3"/>
  <c r="F426" i="3"/>
  <c r="F425" i="3"/>
  <c r="F364" i="3"/>
  <c r="F292" i="3"/>
  <c r="F1255" i="3"/>
  <c r="F1253" i="3"/>
  <c r="F722" i="3"/>
  <c r="F391" i="3"/>
  <c r="F613" i="3"/>
  <c r="F357" i="3"/>
  <c r="F749" i="3"/>
  <c r="F537" i="3"/>
  <c r="F478" i="3"/>
  <c r="F652" i="3"/>
  <c r="F597" i="3"/>
  <c r="F745" i="3"/>
  <c r="F351" i="3"/>
  <c r="F575" i="3"/>
  <c r="F1179" i="3"/>
  <c r="F1173" i="3"/>
  <c r="F591" i="3"/>
  <c r="F453" i="3"/>
  <c r="F389" i="3"/>
  <c r="F288" i="3"/>
  <c r="F850" i="3"/>
  <c r="F838" i="3"/>
  <c r="F834" i="3"/>
  <c r="F836" i="3"/>
  <c r="F839" i="3"/>
  <c r="F519" i="3"/>
  <c r="F374" i="3"/>
  <c r="F504" i="3"/>
  <c r="F340" i="3"/>
  <c r="F1182" i="3"/>
  <c r="F1174" i="3"/>
  <c r="F1177" i="3"/>
  <c r="F952" i="3"/>
  <c r="F907" i="3"/>
  <c r="F779" i="3"/>
  <c r="F1259" i="3"/>
  <c r="F1257" i="3"/>
  <c r="F1272" i="3"/>
  <c r="F910" i="3"/>
  <c r="F909" i="3"/>
  <c r="F912" i="3"/>
  <c r="F923" i="3"/>
  <c r="F1346" i="3"/>
  <c r="F1345" i="3"/>
  <c r="F1336" i="3"/>
  <c r="F1038" i="3"/>
  <c r="F1030" i="3"/>
  <c r="F1026" i="3"/>
  <c r="F1027" i="3"/>
  <c r="F933" i="3"/>
  <c r="F943" i="3"/>
  <c r="F939" i="3"/>
  <c r="F399" i="3"/>
  <c r="F324" i="3"/>
  <c r="F296" i="3"/>
  <c r="F339" i="3"/>
  <c r="F350" i="3"/>
  <c r="F304" i="3"/>
  <c r="F1297" i="3"/>
  <c r="F1285" i="3"/>
  <c r="F1289" i="3"/>
  <c r="F725" i="3"/>
  <c r="F705" i="3"/>
  <c r="F1321" i="3"/>
  <c r="F1315" i="3"/>
  <c r="F1359" i="3"/>
  <c r="F1363" i="3"/>
  <c r="F1223" i="3"/>
  <c r="F1221" i="3"/>
  <c r="F633" i="3"/>
  <c r="F503" i="3"/>
  <c r="F360" i="3"/>
  <c r="F982" i="3"/>
  <c r="F980" i="3"/>
  <c r="F1005" i="3"/>
  <c r="F1008" i="3"/>
  <c r="F644" i="3"/>
  <c r="F755" i="3"/>
  <c r="F655" i="3"/>
  <c r="F570" i="3"/>
  <c r="F1067" i="3"/>
  <c r="F1065" i="3"/>
  <c r="F1250" i="3"/>
  <c r="F1249" i="3"/>
  <c r="F402" i="3"/>
  <c r="F397" i="3"/>
  <c r="F341" i="3"/>
  <c r="F500" i="3"/>
  <c r="F4" i="3"/>
  <c r="F8" i="3"/>
  <c r="F12" i="3"/>
  <c r="F16" i="3"/>
  <c r="F20" i="3"/>
  <c r="F24" i="3"/>
  <c r="F28" i="3"/>
  <c r="F32" i="3"/>
  <c r="F36" i="3"/>
  <c r="F40" i="3"/>
  <c r="F44" i="3"/>
  <c r="F48" i="3"/>
  <c r="F52" i="3"/>
  <c r="F56" i="3"/>
  <c r="F60" i="3"/>
  <c r="F64" i="3"/>
  <c r="F68" i="3"/>
  <c r="F72" i="3"/>
  <c r="F80" i="3"/>
  <c r="F84" i="3"/>
  <c r="F88" i="3"/>
  <c r="F92" i="3"/>
  <c r="F100" i="3"/>
  <c r="F104" i="3"/>
  <c r="F108" i="3"/>
  <c r="F112" i="3"/>
  <c r="F116" i="3"/>
  <c r="F120" i="3"/>
  <c r="F124" i="3"/>
  <c r="F132" i="3"/>
  <c r="F136" i="3"/>
  <c r="F140" i="3"/>
  <c r="F144" i="3"/>
  <c r="F148" i="3"/>
  <c r="F152" i="3"/>
  <c r="F156" i="3"/>
  <c r="F160" i="3"/>
  <c r="F164" i="3"/>
  <c r="F168" i="3"/>
  <c r="F172" i="3"/>
  <c r="F176" i="3"/>
  <c r="F184" i="3"/>
  <c r="F188" i="3"/>
  <c r="F192" i="3"/>
  <c r="F196" i="3"/>
  <c r="F200" i="3"/>
  <c r="F204" i="3"/>
  <c r="F208" i="3"/>
  <c r="F212" i="3"/>
  <c r="F216" i="3"/>
  <c r="F220" i="3"/>
  <c r="F224" i="3"/>
  <c r="F228" i="3"/>
  <c r="F232" i="3"/>
  <c r="F236" i="3"/>
  <c r="F240" i="3"/>
  <c r="F244" i="3"/>
  <c r="F248" i="3"/>
  <c r="F252" i="3"/>
  <c r="F258" i="3"/>
  <c r="F266" i="3"/>
  <c r="F274" i="3"/>
  <c r="F282" i="3"/>
  <c r="F290" i="3"/>
  <c r="F298" i="3"/>
  <c r="F307" i="3"/>
  <c r="F323" i="3"/>
  <c r="F1195" i="3"/>
  <c r="F1204" i="3"/>
  <c r="F1199" i="3"/>
  <c r="F1093" i="3"/>
  <c r="F988" i="3"/>
  <c r="F748" i="3"/>
  <c r="F740" i="3"/>
  <c r="F628" i="3"/>
  <c r="F713" i="3"/>
  <c r="F511" i="3"/>
  <c r="F505" i="3"/>
  <c r="F447" i="3"/>
  <c r="F410" i="3"/>
  <c r="F390" i="3"/>
  <c r="F469" i="3"/>
  <c r="F472" i="3"/>
  <c r="F1130" i="3"/>
  <c r="F1116" i="3"/>
  <c r="F1125" i="3"/>
  <c r="F1135" i="3"/>
  <c r="F1133" i="3"/>
  <c r="F830" i="3"/>
  <c r="F845" i="3"/>
  <c r="F808" i="3"/>
  <c r="F759" i="3"/>
  <c r="F573" i="3"/>
  <c r="F353" i="3"/>
  <c r="F309" i="3"/>
  <c r="F881" i="3"/>
  <c r="F892" i="3"/>
  <c r="F986" i="3"/>
  <c r="F970" i="3"/>
  <c r="F984" i="3"/>
  <c r="F1122" i="3"/>
  <c r="F1129" i="3"/>
  <c r="F1123" i="3"/>
  <c r="F551" i="3"/>
  <c r="F253" i="3"/>
  <c r="F601" i="3"/>
  <c r="F1307" i="3"/>
  <c r="F1353" i="3"/>
  <c r="F704" i="3"/>
  <c r="F827" i="3"/>
  <c r="F973" i="3"/>
  <c r="F976" i="3"/>
  <c r="F996" i="3"/>
  <c r="F886" i="3"/>
  <c r="F1106" i="3"/>
  <c r="F1102" i="3"/>
  <c r="F958" i="3"/>
  <c r="F954" i="3"/>
  <c r="F955" i="3"/>
  <c r="F1006" i="3"/>
  <c r="F997" i="3"/>
  <c r="F1003" i="3"/>
  <c r="F618" i="3"/>
  <c r="F744" i="3"/>
  <c r="F775" i="3"/>
  <c r="F1126" i="3"/>
  <c r="F1201" i="3"/>
  <c r="F911" i="3"/>
  <c r="F626" i="3"/>
  <c r="F665" i="3"/>
  <c r="F558" i="3"/>
  <c r="F1111" i="3"/>
  <c r="F1104" i="3"/>
  <c r="F1107" i="3"/>
  <c r="F1242" i="3"/>
  <c r="F1238" i="3"/>
  <c r="F1244" i="3"/>
  <c r="F1245" i="3"/>
  <c r="F1240" i="3"/>
  <c r="F1318" i="3"/>
  <c r="F1313" i="3"/>
  <c r="F1263" i="3"/>
  <c r="F1000" i="3"/>
  <c r="F936" i="3"/>
  <c r="F1132" i="3"/>
  <c r="F1131" i="3"/>
  <c r="F1062" i="3"/>
  <c r="F1036" i="3"/>
  <c r="F658" i="3"/>
  <c r="F712" i="3"/>
  <c r="F612" i="3"/>
  <c r="F697" i="3"/>
  <c r="F574" i="3"/>
  <c r="F490" i="3"/>
  <c r="F534" i="3"/>
  <c r="F481" i="3"/>
  <c r="F305" i="3"/>
  <c r="F308" i="3"/>
  <c r="F5" i="3"/>
  <c r="F9" i="3"/>
  <c r="F13" i="3"/>
  <c r="F17" i="3"/>
  <c r="F21" i="3"/>
  <c r="F25" i="3"/>
  <c r="F33" i="3"/>
  <c r="F37" i="3"/>
  <c r="F41" i="3"/>
  <c r="F45" i="3"/>
  <c r="F49" i="3"/>
  <c r="F53" i="3"/>
  <c r="F61" i="3"/>
  <c r="F65" i="3"/>
  <c r="F73" i="3"/>
  <c r="F81" i="3"/>
  <c r="F85" i="3"/>
  <c r="F89" i="3"/>
  <c r="F93" i="3"/>
  <c r="F97" i="3"/>
  <c r="F101" i="3"/>
  <c r="F105" i="3"/>
  <c r="F109" i="3"/>
  <c r="F113" i="3"/>
  <c r="F117" i="3"/>
  <c r="F121" i="3"/>
  <c r="F125" i="3"/>
  <c r="F129" i="3"/>
  <c r="F137" i="3"/>
  <c r="F141" i="3"/>
  <c r="F145" i="3"/>
  <c r="F149" i="3"/>
  <c r="F153" i="3"/>
  <c r="F157" i="3"/>
  <c r="F165" i="3"/>
  <c r="F169" i="3"/>
  <c r="F177" i="3"/>
  <c r="F185" i="3"/>
  <c r="F189" i="3"/>
  <c r="F193" i="3"/>
  <c r="F197" i="3"/>
  <c r="F201" i="3"/>
  <c r="F205" i="3"/>
  <c r="F209" i="3"/>
  <c r="F213" i="3"/>
  <c r="F217" i="3"/>
  <c r="F229" i="3"/>
  <c r="F233" i="3"/>
  <c r="F237" i="3"/>
  <c r="F241" i="3"/>
  <c r="F245" i="3"/>
  <c r="F254" i="3"/>
  <c r="F267" i="3"/>
  <c r="F275" i="3"/>
  <c r="F283" i="3"/>
  <c r="F291" i="3"/>
  <c r="F311" i="3"/>
  <c r="F327" i="3"/>
  <c r="F1073" i="3"/>
  <c r="F1077" i="3"/>
  <c r="F1087" i="3"/>
  <c r="F1069" i="3"/>
  <c r="F1010" i="3"/>
  <c r="F998" i="3"/>
  <c r="F987" i="3"/>
  <c r="F728" i="3"/>
  <c r="F516" i="3"/>
  <c r="F599" i="3"/>
  <c r="F589" i="3"/>
  <c r="F514" i="3"/>
  <c r="F1246" i="3"/>
  <c r="F1243" i="3"/>
  <c r="F1237" i="3"/>
  <c r="F1232" i="3"/>
  <c r="F1229" i="3"/>
  <c r="F1088" i="3"/>
  <c r="F1083" i="3"/>
  <c r="F1071" i="3"/>
  <c r="F415" i="3"/>
  <c r="F371" i="3"/>
  <c r="F645" i="3"/>
  <c r="F321" i="3"/>
  <c r="F796" i="3"/>
  <c r="F669" i="3"/>
  <c r="F631" i="3"/>
  <c r="F677" i="3"/>
  <c r="F510" i="3"/>
  <c r="F398" i="3"/>
  <c r="F797" i="3"/>
  <c r="F1369" i="3"/>
  <c r="F1368" i="3"/>
  <c r="F832" i="3"/>
  <c r="F833" i="3"/>
  <c r="F666" i="3"/>
  <c r="F768" i="3"/>
  <c r="F676" i="3"/>
  <c r="F711" i="3"/>
  <c r="F683" i="3"/>
  <c r="F671" i="3"/>
  <c r="F653" i="3"/>
  <c r="F592" i="3"/>
  <c r="F548" i="3"/>
  <c r="F603" i="3"/>
  <c r="F549" i="3"/>
  <c r="F1390" i="3"/>
  <c r="F1382" i="3"/>
  <c r="F1389" i="3"/>
  <c r="F767" i="3"/>
  <c r="F715" i="3"/>
  <c r="F729" i="3"/>
  <c r="F1275" i="3"/>
  <c r="F1295" i="3"/>
  <c r="F354" i="3"/>
  <c r="F550" i="3"/>
  <c r="F261" i="3"/>
  <c r="F650" i="3"/>
  <c r="F804" i="3"/>
  <c r="F823" i="3"/>
  <c r="F492" i="3"/>
  <c r="F1046" i="3"/>
  <c r="F1061" i="3"/>
  <c r="F1049" i="3"/>
  <c r="F1045" i="3"/>
  <c r="F1060" i="3"/>
  <c r="F670" i="3"/>
  <c r="F825" i="3"/>
  <c r="F429" i="3"/>
  <c r="F1134" i="3"/>
  <c r="F1118" i="3"/>
  <c r="F1136" i="3"/>
  <c r="F602" i="3"/>
  <c r="F675" i="3"/>
  <c r="F946" i="3"/>
  <c r="F926" i="3"/>
  <c r="F495" i="3"/>
  <c r="F363" i="3"/>
  <c r="F359" i="3"/>
  <c r="F473" i="3"/>
  <c r="F328" i="3"/>
  <c r="F1002" i="3"/>
  <c r="F994" i="3"/>
  <c r="F273" i="3"/>
  <c r="F565" i="3"/>
  <c r="F352" i="3"/>
  <c r="F1050" i="3"/>
  <c r="F1056" i="3"/>
  <c r="F1052" i="3"/>
  <c r="F1051" i="3"/>
  <c r="F1266" i="3"/>
  <c r="F1271" i="3"/>
  <c r="F1264" i="3"/>
  <c r="F1256" i="3"/>
  <c r="F840" i="3"/>
  <c r="F835" i="3"/>
  <c r="F841" i="3"/>
  <c r="F1370" i="3"/>
  <c r="F1078" i="3"/>
  <c r="F1124" i="3"/>
  <c r="F1283" i="3"/>
  <c r="F885" i="3"/>
  <c r="F908" i="3"/>
  <c r="F1001" i="3"/>
  <c r="F995" i="3"/>
  <c r="F1162" i="3"/>
  <c r="F1157" i="3"/>
  <c r="F1147" i="3"/>
  <c r="F1161" i="3"/>
  <c r="F1156" i="3"/>
  <c r="F1155" i="3"/>
  <c r="F1270" i="3"/>
  <c r="F1258" i="3"/>
  <c r="F757" i="3"/>
  <c r="F605" i="3"/>
  <c r="F265" i="3"/>
  <c r="F842" i="3"/>
  <c r="F851" i="3"/>
  <c r="F847" i="3"/>
  <c r="F837" i="3"/>
  <c r="F900" i="3"/>
  <c r="F887" i="3"/>
  <c r="F777" i="3"/>
  <c r="F685" i="3"/>
  <c r="F897" i="3"/>
  <c r="F888" i="3"/>
  <c r="F1365" i="3"/>
  <c r="F1355" i="3"/>
  <c r="F1364" i="3"/>
  <c r="F568" i="3"/>
  <c r="F727" i="3"/>
  <c r="F277" i="3"/>
  <c r="F372" i="3"/>
  <c r="F1312" i="3"/>
  <c r="F1316" i="3"/>
  <c r="F636" i="3"/>
  <c r="F498" i="3"/>
  <c r="F1362" i="3"/>
  <c r="F1361" i="3"/>
  <c r="F1356" i="3"/>
  <c r="F1357" i="3"/>
  <c r="F1351" i="3"/>
  <c r="F1340" i="3"/>
  <c r="F1344" i="3"/>
  <c r="F487" i="3"/>
  <c r="F430" i="3"/>
  <c r="F730" i="3"/>
  <c r="F662" i="3"/>
  <c r="F632" i="3"/>
  <c r="F1393" i="3"/>
  <c r="F1032" i="3"/>
  <c r="F812" i="3"/>
  <c r="F811" i="3"/>
  <c r="F731" i="3"/>
  <c r="F723" i="3"/>
  <c r="F529" i="3"/>
  <c r="F1290" i="3"/>
  <c r="F1265" i="3"/>
  <c r="F1183" i="3"/>
  <c r="F893" i="3"/>
  <c r="F844" i="3"/>
  <c r="F962" i="3"/>
  <c r="F960" i="3"/>
  <c r="F959" i="3"/>
  <c r="F1184" i="3"/>
  <c r="F1108" i="3"/>
  <c r="F894" i="3"/>
  <c r="F630" i="3"/>
  <c r="F901" i="3"/>
  <c r="F895" i="3"/>
  <c r="F918" i="3"/>
  <c r="F921" i="3"/>
  <c r="F776" i="3"/>
  <c r="F546" i="3"/>
  <c r="F1188" i="3"/>
  <c r="F794" i="3"/>
  <c r="F786" i="3"/>
  <c r="F782" i="3"/>
  <c r="F766" i="3"/>
  <c r="F746" i="3"/>
  <c r="F788" i="3"/>
  <c r="F772" i="3"/>
  <c r="F708" i="3"/>
  <c r="F803" i="3"/>
  <c r="F791" i="3"/>
  <c r="F805" i="3"/>
  <c r="F813" i="3"/>
  <c r="F781" i="3"/>
  <c r="F717" i="3"/>
  <c r="F621" i="3"/>
  <c r="F1326" i="3"/>
  <c r="F1322" i="3"/>
  <c r="F1323" i="3"/>
  <c r="F1193" i="3"/>
  <c r="F1192" i="3"/>
  <c r="F6" i="3"/>
  <c r="F10" i="3"/>
  <c r="F14" i="3"/>
  <c r="F18" i="3"/>
  <c r="F22" i="3"/>
  <c r="F30" i="3"/>
  <c r="F34" i="3"/>
  <c r="F38" i="3"/>
  <c r="F42" i="3"/>
  <c r="F46" i="3"/>
  <c r="F50" i="3"/>
  <c r="F54" i="3"/>
  <c r="F58" i="3"/>
  <c r="F62" i="3"/>
  <c r="F66" i="3"/>
  <c r="F74" i="3"/>
  <c r="F82" i="3"/>
  <c r="F86" i="3"/>
  <c r="F90" i="3"/>
  <c r="F94" i="3"/>
  <c r="F98" i="3"/>
  <c r="F102" i="3"/>
  <c r="F106" i="3"/>
  <c r="F114" i="3"/>
  <c r="F118" i="3"/>
  <c r="F122" i="3"/>
  <c r="F126" i="3"/>
  <c r="F130" i="3"/>
  <c r="F134" i="3"/>
  <c r="F138" i="3"/>
  <c r="F146" i="3"/>
  <c r="F154" i="3"/>
  <c r="F158" i="3"/>
  <c r="F162" i="3"/>
  <c r="F170" i="3"/>
  <c r="F174" i="3"/>
  <c r="F182" i="3"/>
  <c r="F186" i="3"/>
  <c r="F190" i="3"/>
  <c r="F194" i="3"/>
  <c r="F198" i="3"/>
  <c r="F202" i="3"/>
  <c r="F210" i="3"/>
  <c r="F222" i="3"/>
  <c r="F226" i="3"/>
  <c r="F234" i="3"/>
  <c r="F238" i="3"/>
  <c r="F242" i="3"/>
  <c r="F246" i="3"/>
  <c r="F250" i="3"/>
  <c r="F262" i="3"/>
  <c r="F270" i="3"/>
  <c r="F286" i="3"/>
  <c r="F294" i="3"/>
  <c r="F302" i="3"/>
  <c r="F315" i="3"/>
  <c r="F738" i="3"/>
  <c r="F451" i="3"/>
  <c r="F369" i="3"/>
  <c r="F440" i="3"/>
  <c r="F356" i="3"/>
  <c r="F1068" i="3"/>
  <c r="F1058" i="3"/>
  <c r="F1057" i="3"/>
  <c r="F1044" i="3"/>
  <c r="F1047" i="3"/>
  <c r="F1043" i="3"/>
  <c r="F623" i="3"/>
  <c r="F506" i="3"/>
  <c r="F329" i="3"/>
  <c r="F555" i="3"/>
  <c r="F337" i="3"/>
  <c r="F416" i="3"/>
  <c r="F1292" i="3"/>
  <c r="F1276" i="3"/>
  <c r="F1293" i="3"/>
  <c r="F870" i="3"/>
  <c r="F873" i="3"/>
  <c r="F876" i="3"/>
  <c r="F864" i="3"/>
  <c r="F856" i="3"/>
  <c r="F859" i="3"/>
  <c r="F672" i="3"/>
  <c r="F648" i="3"/>
  <c r="F556" i="3"/>
  <c r="F562" i="3"/>
  <c r="F462" i="3"/>
  <c r="F406" i="3"/>
  <c r="F310" i="3"/>
  <c r="F417" i="3"/>
  <c r="F409" i="3"/>
  <c r="F381" i="3"/>
  <c r="F365" i="3"/>
  <c r="F496" i="3"/>
  <c r="F698" i="3"/>
  <c r="F720" i="3"/>
  <c r="F1334" i="3"/>
  <c r="F1335" i="3"/>
  <c r="F1333" i="3"/>
  <c r="F1332" i="3"/>
  <c r="F1198" i="3"/>
  <c r="F1170" i="3"/>
  <c r="F1367" i="3"/>
  <c r="F1096" i="3"/>
  <c r="F927" i="3"/>
  <c r="F815" i="3"/>
  <c r="F635" i="3"/>
  <c r="F754" i="3"/>
  <c r="F488" i="3"/>
  <c r="F1021" i="3"/>
  <c r="F1023" i="3"/>
  <c r="F764" i="3"/>
  <c r="F572" i="3"/>
  <c r="F751" i="3"/>
  <c r="F710" i="3"/>
  <c r="F643" i="3"/>
  <c r="F617" i="3"/>
  <c r="F483" i="3"/>
  <c r="F439" i="3"/>
  <c r="F407" i="3"/>
  <c r="F438" i="3"/>
  <c r="F448" i="3"/>
  <c r="F706" i="3"/>
  <c r="F761" i="3"/>
  <c r="F579" i="3"/>
  <c r="F395" i="3"/>
  <c r="F821" i="3"/>
  <c r="F765" i="3"/>
  <c r="F428" i="3"/>
  <c r="F714" i="3"/>
  <c r="F593" i="3"/>
  <c r="F1086" i="3"/>
  <c r="F1070" i="3"/>
  <c r="F1084" i="3"/>
  <c r="F1081" i="3"/>
  <c r="F1091" i="3"/>
  <c r="F1075" i="3"/>
  <c r="F322" i="3"/>
  <c r="F559" i="3"/>
  <c r="F619" i="3"/>
  <c r="F459" i="3"/>
  <c r="F387" i="3"/>
  <c r="F361" i="3"/>
  <c r="F349" i="3"/>
  <c r="F700" i="3"/>
  <c r="F333" i="3"/>
  <c r="F297" i="3"/>
  <c r="F284" i="3"/>
  <c r="F596" i="3"/>
  <c r="F539" i="3"/>
  <c r="F489" i="3"/>
  <c r="F421" i="3"/>
  <c r="F378" i="3"/>
  <c r="F301" i="3"/>
  <c r="F668" i="3"/>
  <c r="F795" i="3"/>
  <c r="F443" i="3"/>
  <c r="F477" i="3"/>
  <c r="F484" i="3"/>
  <c r="F914" i="3"/>
  <c r="F906" i="3"/>
  <c r="F916" i="3"/>
  <c r="F858" i="3"/>
  <c r="F860" i="3"/>
  <c r="F853" i="3"/>
  <c r="F861" i="3"/>
  <c r="F785" i="3"/>
  <c r="F689" i="3"/>
  <c r="F649" i="3"/>
  <c r="F457" i="3"/>
  <c r="F317" i="3"/>
  <c r="F533" i="3"/>
  <c r="F522" i="3"/>
  <c r="F983" i="3"/>
  <c r="F975" i="3"/>
  <c r="F963" i="3"/>
  <c r="F1127" i="3"/>
  <c r="F1121" i="3"/>
  <c r="F1115" i="3"/>
  <c r="F1128" i="3"/>
  <c r="F1158" i="3"/>
  <c r="F1164" i="3"/>
  <c r="F1153" i="3"/>
  <c r="F1139" i="3"/>
  <c r="F820" i="3"/>
  <c r="F624" i="3"/>
  <c r="F657" i="3"/>
  <c r="F890" i="3"/>
  <c r="F882" i="3"/>
  <c r="F878" i="3"/>
  <c r="F880" i="3"/>
  <c r="F343" i="3"/>
  <c r="F293" i="3"/>
  <c r="F846" i="3"/>
  <c r="F829" i="3"/>
  <c r="F917" i="3"/>
  <c r="F913" i="3"/>
  <c r="F903" i="3"/>
  <c r="F1230" i="3"/>
  <c r="F1233" i="3"/>
  <c r="F1236" i="3"/>
  <c r="F1231" i="3"/>
  <c r="F1235" i="3"/>
  <c r="F494" i="3"/>
  <c r="F452" i="3"/>
  <c r="F1186" i="3"/>
  <c r="F1167" i="3"/>
  <c r="F1181" i="3"/>
  <c r="F1171" i="3"/>
  <c r="F1347" i="3"/>
  <c r="F1331" i="3"/>
  <c r="F734" i="3"/>
  <c r="F793" i="3"/>
  <c r="F379" i="3"/>
  <c r="F1042" i="3"/>
  <c r="F1017" i="3"/>
  <c r="F1314" i="3"/>
  <c r="F1310" i="3"/>
  <c r="F1303" i="3"/>
  <c r="F694" i="3"/>
  <c r="F741" i="3"/>
  <c r="F561" i="3"/>
  <c r="F667" i="3"/>
  <c r="F513" i="3"/>
  <c r="F347" i="3"/>
  <c r="F465" i="3"/>
  <c r="F1142" i="3"/>
  <c r="F991" i="3"/>
  <c r="F949" i="3"/>
  <c r="F587" i="3"/>
  <c r="F647" i="3"/>
  <c r="F463" i="3"/>
  <c r="F367" i="3"/>
  <c r="F400" i="3"/>
  <c r="F732" i="3"/>
  <c r="F585" i="3"/>
  <c r="F582" i="3"/>
  <c r="F1054" i="3"/>
  <c r="F1048" i="3"/>
  <c r="F1064" i="3"/>
  <c r="F1055" i="3"/>
  <c r="F1282" i="3"/>
  <c r="F1291" i="3"/>
  <c r="F1279" i="3"/>
  <c r="F1305" i="3"/>
  <c r="F1309" i="3"/>
  <c r="F1304" i="3"/>
  <c r="F1137" i="3"/>
  <c r="F1120" i="3"/>
  <c r="F1119" i="3"/>
  <c r="F1082" i="3"/>
  <c r="F1074" i="3"/>
  <c r="F905" i="3"/>
  <c r="F920" i="3"/>
  <c r="F919" i="3"/>
  <c r="F678" i="3"/>
  <c r="F607" i="3"/>
  <c r="F358" i="3"/>
  <c r="F1254" i="3"/>
  <c r="F1260" i="3"/>
  <c r="F1273" i="3"/>
  <c r="F1268" i="3"/>
  <c r="F1281" i="3"/>
  <c r="F1288" i="3"/>
  <c r="F1098" i="3"/>
  <c r="F437" i="3"/>
  <c r="F1090" i="3"/>
  <c r="F1089" i="3"/>
  <c r="F1079" i="3"/>
  <c r="F1092" i="3"/>
  <c r="F1076" i="3"/>
  <c r="F1085" i="3"/>
  <c r="F1080" i="3"/>
  <c r="F1234" i="3"/>
  <c r="F1248" i="3"/>
  <c r="F1247" i="3"/>
  <c r="F1241" i="3"/>
  <c r="F739" i="3"/>
  <c r="F326" i="3"/>
  <c r="F660" i="3"/>
  <c r="F446" i="3"/>
  <c r="F314" i="3"/>
  <c r="F616" i="3"/>
  <c r="F491" i="3"/>
  <c r="F413" i="3"/>
  <c r="F257" i="3"/>
  <c r="F1099" i="3"/>
  <c r="F1112" i="3"/>
  <c r="F930" i="3"/>
  <c r="F944" i="3"/>
  <c r="F600" i="3"/>
  <c r="F419" i="3"/>
  <c r="F461" i="3"/>
  <c r="F380" i="3"/>
  <c r="F1298" i="3"/>
  <c r="F1294" i="3"/>
  <c r="F1286" i="3"/>
  <c r="F1284" i="3"/>
  <c r="F584" i="3"/>
  <c r="F342" i="3"/>
  <c r="F769" i="3"/>
  <c r="F538" i="3"/>
  <c r="F1053" i="3"/>
  <c r="F1059" i="3"/>
  <c r="F1374" i="3"/>
  <c r="F4" i="5" s="1"/>
  <c r="F1380" i="3"/>
  <c r="F1372" i="3"/>
  <c r="F1379" i="3"/>
  <c r="F1375" i="3"/>
  <c r="F699" i="3"/>
  <c r="F471" i="3"/>
  <c r="F693" i="3"/>
  <c r="F464" i="3"/>
  <c r="F679" i="3"/>
  <c r="F569" i="3"/>
  <c r="F578" i="3"/>
  <c r="F432" i="3"/>
  <c r="F703" i="3"/>
  <c r="F404" i="3"/>
  <c r="F1063" i="3"/>
  <c r="F1037" i="3"/>
  <c r="F1007" i="3"/>
  <c r="F523" i="3"/>
  <c r="F1378" i="3"/>
  <c r="F1189" i="3"/>
  <c r="F1066" i="3"/>
  <c r="F1324" i="3"/>
  <c r="F899" i="3"/>
  <c r="F627" i="3"/>
  <c r="F553" i="3"/>
  <c r="F1325" i="3"/>
  <c r="F922" i="3"/>
  <c r="F1011" i="3"/>
  <c r="F634" i="3"/>
  <c r="F659" i="3"/>
  <c r="F615" i="3"/>
  <c r="F467" i="3"/>
  <c r="F502" i="3"/>
  <c r="F412" i="3"/>
  <c r="F336" i="3"/>
  <c r="F1274" i="3"/>
  <c r="F1194" i="3"/>
  <c r="F1114" i="3"/>
  <c r="F1012" i="3"/>
  <c r="F852" i="3"/>
  <c r="F947" i="3"/>
  <c r="F3" i="3"/>
  <c r="F7" i="3"/>
  <c r="F11" i="3"/>
  <c r="F15" i="3"/>
  <c r="F19" i="3"/>
  <c r="F23" i="3"/>
  <c r="F27" i="3"/>
  <c r="F31" i="3"/>
  <c r="F35" i="3"/>
  <c r="F39" i="3"/>
  <c r="F43" i="3"/>
  <c r="F47" i="3"/>
  <c r="F51" i="3"/>
  <c r="F59" i="3"/>
  <c r="F63" i="3"/>
  <c r="F67" i="3"/>
  <c r="F71" i="3"/>
  <c r="F75" i="3"/>
  <c r="F79" i="3"/>
  <c r="F83" i="3"/>
  <c r="F91" i="3"/>
  <c r="F95" i="3"/>
  <c r="F99" i="3"/>
  <c r="F103" i="3"/>
  <c r="F107" i="3"/>
  <c r="F111" i="3"/>
  <c r="F115" i="3"/>
  <c r="F119" i="3"/>
  <c r="F123" i="3"/>
  <c r="F127" i="3"/>
  <c r="F131" i="3"/>
  <c r="F139" i="3"/>
  <c r="F143" i="3"/>
  <c r="F147" i="3"/>
  <c r="F151" i="3"/>
  <c r="F155" i="3"/>
  <c r="F159" i="3"/>
  <c r="F163" i="3"/>
  <c r="F167" i="3"/>
  <c r="F171" i="3"/>
  <c r="F175" i="3"/>
  <c r="F179" i="3"/>
  <c r="F187" i="3"/>
  <c r="F191" i="3"/>
  <c r="F195" i="3"/>
  <c r="F199" i="3"/>
  <c r="F203" i="3"/>
  <c r="F207" i="3"/>
  <c r="F211" i="3"/>
  <c r="F219" i="3"/>
  <c r="F223" i="3"/>
  <c r="F227" i="3"/>
  <c r="F231" i="3"/>
  <c r="F235" i="3"/>
  <c r="F239" i="3"/>
  <c r="F243" i="3"/>
  <c r="F247" i="3"/>
  <c r="F251" i="3"/>
  <c r="F256" i="3"/>
  <c r="F263" i="3"/>
  <c r="F271" i="3"/>
  <c r="F279" i="3"/>
  <c r="F287" i="3"/>
  <c r="F295" i="3"/>
  <c r="F303" i="3"/>
  <c r="F319" i="3"/>
  <c r="O4" i="5"/>
  <c r="B4" i="5"/>
  <c r="D5" i="5"/>
  <c r="B6" i="5"/>
  <c r="F6" i="5"/>
  <c r="L4" i="5"/>
  <c r="J5" i="5"/>
  <c r="N5" i="5"/>
  <c r="L6" i="5"/>
  <c r="C4" i="5"/>
  <c r="G4" i="5"/>
  <c r="E5" i="5"/>
  <c r="C6" i="5"/>
  <c r="G6" i="5"/>
  <c r="M4" i="5"/>
  <c r="K5" i="5"/>
  <c r="O5" i="5"/>
  <c r="M6" i="5"/>
  <c r="D4" i="5"/>
  <c r="B5" i="5"/>
  <c r="F5" i="5"/>
  <c r="D6" i="5"/>
  <c r="J4" i="5"/>
  <c r="N4" i="5"/>
  <c r="L5" i="5"/>
  <c r="J6" i="5"/>
  <c r="N6" i="5"/>
  <c r="E4" i="5"/>
  <c r="C5" i="5"/>
  <c r="G5" i="5"/>
  <c r="E6" i="5"/>
  <c r="K4" i="5"/>
  <c r="K6" i="5"/>
  <c r="O6" i="5" l="1"/>
  <c r="B11" i="5"/>
</calcChain>
</file>

<file path=xl/sharedStrings.xml><?xml version="1.0" encoding="utf-8"?>
<sst xmlns="http://schemas.openxmlformats.org/spreadsheetml/2006/main" count="13205" uniqueCount="954">
  <si>
    <t>SG_PARTIDO</t>
  </si>
  <si>
    <t>NM_PARTIDO</t>
  </si>
  <si>
    <t>NM_COLIGACAO</t>
  </si>
  <si>
    <t>DS_COMPOSICAO_COLIGACAO</t>
  </si>
  <si>
    <t>SOLIDARIEDADE</t>
  </si>
  <si>
    <t>Solidariedade</t>
  </si>
  <si>
    <t>PERNAMBUCO EM 1. LUGAR</t>
  </si>
  <si>
    <t>PP / PR / SOLIDARIEDADE / PMN</t>
  </si>
  <si>
    <t>UNIDOS PELO DF</t>
  </si>
  <si>
    <t>PSD / PRB / PPS / SOLIDARIEDADE / PODE / PSC</t>
  </si>
  <si>
    <t>MUDANÇA E COMPETÊNCIA 1</t>
  </si>
  <si>
    <t>PP / PSDB / PSD / MDB / DEM / SOLIDARIEDADE / PTC / PMN / PR / PTB / PPS</t>
  </si>
  <si>
    <t>AVANÇA MAIS ALAGOAS III</t>
  </si>
  <si>
    <t>PHS / DC / SOLIDARIEDADE</t>
  </si>
  <si>
    <t>AVANÇA MAIS ALAGOAS 2</t>
  </si>
  <si>
    <t>MDB / PR / PTB / PHS / PRP / PSD / SOLIDARIEDADE</t>
  </si>
  <si>
    <t>UNIDOS PELO DF 1</t>
  </si>
  <si>
    <t>PRB / PODE / PPS / SOLIDARIEDADE / PSC / PSD</t>
  </si>
  <si>
    <t>FORÇA DA ESPERANÇA IV</t>
  </si>
  <si>
    <t>DC / PSL / PRTB / SOLIDARIEDADE</t>
  </si>
  <si>
    <t>FORÇA DA ESPERANÇA I</t>
  </si>
  <si>
    <t>PV / PSDB / PSD / PSC / SOLIDARIEDADE</t>
  </si>
  <si>
    <t>PSB - PRB - SOLIDARIEDADE</t>
  </si>
  <si>
    <t>PSB / PRB / SOLIDARIEDADE</t>
  </si>
  <si>
    <t>EU VOTO NO AMAZONAS I</t>
  </si>
  <si>
    <t>PDT / PP / PV / PR / SOLIDARIEDADE / PTB / PHS / PSL</t>
  </si>
  <si>
    <t>EU VOTO NO AMAZONAS IV</t>
  </si>
  <si>
    <t>PP / PR / PPL / SOLIDARIEDADE</t>
  </si>
  <si>
    <t>TODOS PELO MARANHÃO 1</t>
  </si>
  <si>
    <t>PC do B / PRB / PPS / SOLIDARIEDADE / PROS / PTC / PTB / PSB / DEM / AVANTE / PPL</t>
  </si>
  <si>
    <t>TODOS PELO MARANHÃO 05</t>
  </si>
  <si>
    <t>SOLIDARIEDADE / PATRI</t>
  </si>
  <si>
    <t>GOIÁS AVANÇA MAIS - I</t>
  </si>
  <si>
    <t>PSDB / PR / PSB / PPS / SOLIDARIEDADE / PTB / PSD</t>
  </si>
  <si>
    <t>TODOS PELO PARÁ</t>
  </si>
  <si>
    <t>PSDB / DEM / PSB / PDT / SOLIDARIEDADE / PPS / PMN</t>
  </si>
  <si>
    <t>AVANÇAR COM RESPONSABILIDADE V</t>
  </si>
  <si>
    <t>PPS / PROS / SOLIDARIEDADE / PSB / PTB / AVANTE / PSL / PMN</t>
  </si>
  <si>
    <t>AVANÇAR COM RESPONSABILIDADE II</t>
  </si>
  <si>
    <t>SOLIDARIEDADE / PPS / PSL / PSB / PP / PTB / PMB</t>
  </si>
  <si>
    <t>UM NOVO TEMPO</t>
  </si>
  <si>
    <t>SOLIDARIEDADE / PSD</t>
  </si>
  <si>
    <t>JUNTOS PODEMOS</t>
  </si>
  <si>
    <t>REDE / PPL / AVANTE / SOLIDARIEDADE / PODE</t>
  </si>
  <si>
    <t>RECONSTRUIR MINAS</t>
  </si>
  <si>
    <t>PSDB / PSD / SOLIDARIEDADE / PTB / PPS / PMN / PSC / DEM / PP / PTC / PATRI / PMB</t>
  </si>
  <si>
    <t>PARANA: SUSTENTAVEL, JUSTO E SOBERANO</t>
  </si>
  <si>
    <t>PDT / SOLIDARIEDADE / PC do B</t>
  </si>
  <si>
    <t>COLIGAÇÃO UNIDOS PELO DF 3</t>
  </si>
  <si>
    <t>PRB / SOLIDARIEDADE</t>
  </si>
  <si>
    <t>JUNTOS O RIO GRANDE TEM SOLUÇÃO</t>
  </si>
  <si>
    <t>SOLIDARIEDADE / AVANTE / PPL / PODE</t>
  </si>
  <si>
    <t>TODOS SOMOS MATO GROSSO</t>
  </si>
  <si>
    <t>CIDADANIA / SOLIDARIEDADE</t>
  </si>
  <si>
    <t>MUDAR PARA CUIDAR DA NOSSA GENTE</t>
  </si>
  <si>
    <t>PMN / PRB / SOLIDARIEDADE / PPL / PTC</t>
  </si>
  <si>
    <t>RENOVA RN</t>
  </si>
  <si>
    <t>SOLIDARIEDADE / PV / DC / PSC / PSL / PATRI</t>
  </si>
  <si>
    <t>COLIGAÇÃO PARANÁ, EDUCAÇÃO E EMPREGO</t>
  </si>
  <si>
    <t>MDB / PDT / SOLIDARIEDADE / PC do B</t>
  </si>
  <si>
    <t>TOCANTINS DE OPORTUNIDADES</t>
  </si>
  <si>
    <t>PHS / AVANTE / PROS / DEM / PTC / PP / SOLIDARIEDADE / PATRI / PRB</t>
  </si>
  <si>
    <t>TOCANTINS DE OPORTUNIDADES 1</t>
  </si>
  <si>
    <t>PHS / PROS / PP / DEM / AVANTE / PATRI / SOLIDARIEDADE / PRB / PTC</t>
  </si>
  <si>
    <t>CORAGEM PARA MUDAR SERGIPE</t>
  </si>
  <si>
    <t>PRB / PPS / PSC / PR / PTC / PSDB / SOLIDARIEDADE</t>
  </si>
  <si>
    <t>FÉ E TRABALHO</t>
  </si>
  <si>
    <t>DC / PRTB / AVANTE / SOLIDARIEDADE / PRP / PATRI</t>
  </si>
  <si>
    <t>UNIÃO E TRABALHO</t>
  </si>
  <si>
    <t>PRB / PDT / PSC / DEM / PSB / PC do B / SOLIDARIEDADE</t>
  </si>
  <si>
    <t>GOVERNO DE ATITUDE</t>
  </si>
  <si>
    <t>PHS / SOLIDARIEDADE / PP / DEM / PTC / PRB / AVANTE / PATRI / PROS</t>
  </si>
  <si>
    <t>JUNTOS POR UM NOVO TEMPO</t>
  </si>
  <si>
    <t>PP / PTB / PR / SOLIDARIEDADE</t>
  </si>
  <si>
    <t>JUNTOS POR UM NOVO TEMPO PARA RONDONIA II</t>
  </si>
  <si>
    <t>PDT / PSB / PTB / SOLIDARIEDADE / PP / PR / DC / PTC</t>
  </si>
  <si>
    <t>RECONSTRUÇÃO JÁ</t>
  </si>
  <si>
    <t>PSDB / PSD / SOLIDARIEDADE / PPS / DEM / PP</t>
  </si>
  <si>
    <t>FRENTE O RIO GRANDE TEM SOLUÇÃO</t>
  </si>
  <si>
    <t>PDT / AVANTE / PV / PODE / PPL / PMB / SOLIDARIEDADE</t>
  </si>
  <si>
    <t>MDB/PHS/AVANTE/SD/PSD/PSC/PODEMOS/PRB</t>
  </si>
  <si>
    <t>MDB / PHS / AVANTE / SOLIDARIEDADE / PSD / PSC / PODE / PRB</t>
  </si>
  <si>
    <t>RORAIMA NÃO PODE PARAR</t>
  </si>
  <si>
    <t>SOLIDARIEDADE / DC</t>
  </si>
  <si>
    <t>RENOVA RN I</t>
  </si>
  <si>
    <t>SOLIDARIEDADE / PSL / DC / PV / PSC</t>
  </si>
  <si>
    <t xml:space="preserve">UNIDOS POR RORAIMA </t>
  </si>
  <si>
    <t>MDB / PSD / SOLIDARIEDADE / DC</t>
  </si>
  <si>
    <t>RENOVA RN II</t>
  </si>
  <si>
    <t>PV / SOLIDARIEDADE</t>
  </si>
  <si>
    <t>ESPIRITO SANTO FORTE</t>
  </si>
  <si>
    <t>PDT / DEM / PSD / PSDB / PRP / SOLIDARIEDADE</t>
  </si>
  <si>
    <t>SEGUE EM FRENTE MATO GROSSO II</t>
  </si>
  <si>
    <t>PSDB / PPS / PSB / SOLIDARIEDADE</t>
  </si>
  <si>
    <t>COLIGAÇÃO POR AMOR AO ESPIRITO SANTO</t>
  </si>
  <si>
    <t>PV / SOLIDARIEDADE / PHS</t>
  </si>
  <si>
    <t>SERGIPE QUER MUDANÇA</t>
  </si>
  <si>
    <t>PPS / PTC / SOLIDARIEDADE</t>
  </si>
  <si>
    <t>LIBERTA BAHIA</t>
  </si>
  <si>
    <t>PSC / PTB / SOLIDARIEDADE / PPL</t>
  </si>
  <si>
    <t>PARTIDO ISOLADO</t>
  </si>
  <si>
    <t>PCA9</t>
  </si>
  <si>
    <t>Sem Partido 9</t>
  </si>
  <si>
    <t>PCA8</t>
  </si>
  <si>
    <t>Sem Partido 8</t>
  </si>
  <si>
    <t>PCA7</t>
  </si>
  <si>
    <t>Sem Partido 7</t>
  </si>
  <si>
    <t>PCA6</t>
  </si>
  <si>
    <t>Sem Partido 6</t>
  </si>
  <si>
    <t>PCA5</t>
  </si>
  <si>
    <t>Sem Partido 5</t>
  </si>
  <si>
    <t>PCA4</t>
  </si>
  <si>
    <t>Sem Partido 4</t>
  </si>
  <si>
    <t>PCA3</t>
  </si>
  <si>
    <t>Sem Partido 3</t>
  </si>
  <si>
    <t>PCA2</t>
  </si>
  <si>
    <t>Sem Partido 2</t>
  </si>
  <si>
    <t>PCA17</t>
  </si>
  <si>
    <t>Sem Partido 17</t>
  </si>
  <si>
    <t>PCA16</t>
  </si>
  <si>
    <t>Sem Partido 16</t>
  </si>
  <si>
    <t>PCA15</t>
  </si>
  <si>
    <t>Sem Partido 15</t>
  </si>
  <si>
    <t>PCA14</t>
  </si>
  <si>
    <t>Sem Partido 14</t>
  </si>
  <si>
    <t>PCA13</t>
  </si>
  <si>
    <t>Sem Partido 13</t>
  </si>
  <si>
    <t>PCA12</t>
  </si>
  <si>
    <t>Sem Partido 12</t>
  </si>
  <si>
    <t>PCA11</t>
  </si>
  <si>
    <t>Sem Partido 11</t>
  </si>
  <si>
    <t>PCA10</t>
  </si>
  <si>
    <t>Sem Partido 10</t>
  </si>
  <si>
    <t>PCA1</t>
  </si>
  <si>
    <t>Sem Partido 1</t>
  </si>
  <si>
    <t>REDE</t>
  </si>
  <si>
    <t>Rede Sustentabilidade</t>
  </si>
  <si>
    <t>UM NOVO CAMINHO PARA O ESPÍRITO SANTO</t>
  </si>
  <si>
    <t>PRTB / REDE / PODE / MDB / PMN / PATRI</t>
  </si>
  <si>
    <t>CORAGEM E UNIÃO PARA FAZER O MARANHÃO MELHOR - 1</t>
  </si>
  <si>
    <t>PSDB / REDE / PODE / DC</t>
  </si>
  <si>
    <t>PARA FAZER UM MARANHÃO MELHOR</t>
  </si>
  <si>
    <t>REDE / PODE / DC</t>
  </si>
  <si>
    <t>TRANSFORMAÇÃO POR UM NOVO AMAZONAS</t>
  </si>
  <si>
    <t>REDE / PSC / PRTB</t>
  </si>
  <si>
    <t>PV,REDE</t>
  </si>
  <si>
    <t>PV / REDE</t>
  </si>
  <si>
    <t>AMOR PELO PARÁ</t>
  </si>
  <si>
    <t>PRP / PRTB / REDE / PV</t>
  </si>
  <si>
    <t>FORÇA DO TRABALHO V</t>
  </si>
  <si>
    <t>REDE / PPS / PMN / DEM</t>
  </si>
  <si>
    <t>O NOSSO MOVIMENTO É POR MUDANÇA</t>
  </si>
  <si>
    <t>REDE / PC do B / PV</t>
  </si>
  <si>
    <t>TRABALHO E UNIÃO PELO AMAPÁ</t>
  </si>
  <si>
    <t>DEM / REDE / PSDB / PPL / PP / PSC / AVANTE / PSD / PODE / SOLIDARIEDADE</t>
  </si>
  <si>
    <t>FRENTE POPULAR</t>
  </si>
  <si>
    <t>REDE / PPL</t>
  </si>
  <si>
    <t>A FORÇA DO TRABALHO II</t>
  </si>
  <si>
    <t>AVANTE / PROS / PPS / PMN / REDE</t>
  </si>
  <si>
    <t>JUNTOS PELO RIO GRANDE</t>
  </si>
  <si>
    <t>PSDB / PPS / PHS / REDE</t>
  </si>
  <si>
    <t>COMPROMISSO COM RORAIMA</t>
  </si>
  <si>
    <t>PTB / REDE / PV / PT</t>
  </si>
  <si>
    <t>BRASÍLIA JUSTA E DE MÃOS LIMPAS</t>
  </si>
  <si>
    <t>PC do B / REDE</t>
  </si>
  <si>
    <t>GOIÁS AVANÇA MAIS II</t>
  </si>
  <si>
    <t>PV / REDE / AVANTE / PATRI</t>
  </si>
  <si>
    <t>POR UMA RONDÔNIA QUE QUEREMOS</t>
  </si>
  <si>
    <t>REDE / PPS / PRP</t>
  </si>
  <si>
    <t>REDE / PRTB / PSC</t>
  </si>
  <si>
    <t>COLIGAÇÃO REDE PATRIOTA</t>
  </si>
  <si>
    <t>REDE / PATRI</t>
  </si>
  <si>
    <t xml:space="preserve"> A FORÇA DO TRABALHO </t>
  </si>
  <si>
    <t>PATRI / PMN / REDE / PODE / MDB</t>
  </si>
  <si>
    <t>REDEFININDO MATO GROSSO</t>
  </si>
  <si>
    <t>COLIGAÇÃO MOBILIZAÇÃO SUSTENTÁVEL POR SÃO PAULO</t>
  </si>
  <si>
    <t>PMN / REDE</t>
  </si>
  <si>
    <t>POR UMA RONDÔNIA QUE QUEREMOS II</t>
  </si>
  <si>
    <t>POR UMA RONDÔNIA QUE QUEREMOS I</t>
  </si>
  <si>
    <t>PPS / PRP / REDE</t>
  </si>
  <si>
    <t>COLIGAÇÃO FRENTE ALTERNATIVA</t>
  </si>
  <si>
    <t>REDE / PRTB / PTB / PC do B / PT / PV / PDT / PSD</t>
  </si>
  <si>
    <t>COLIGAÇÃO FRENTE ALTERNATIVA 3</t>
  </si>
  <si>
    <t>REDE / PDT / PSD / PV / PTB</t>
  </si>
  <si>
    <t xml:space="preserve"> FRENTE ALTERNATIVA 1</t>
  </si>
  <si>
    <t>PT / PC do B / PV / PSD / REDE</t>
  </si>
  <si>
    <t>COMPROMISSO COM O ESPIRITO SANTO</t>
  </si>
  <si>
    <t>PODE / PRTB / PMN / PATRI / REDE</t>
  </si>
  <si>
    <t>COLIGAÇÃO REDE PATRIOTA DA BAHIA</t>
  </si>
  <si>
    <t>PATRI / REDE</t>
  </si>
  <si>
    <t>SOMOS TODOS RORAIMA</t>
  </si>
  <si>
    <t>PTB / REDE / PT</t>
  </si>
  <si>
    <t>RESISTÊNCIA PELO PIAUÍ III</t>
  </si>
  <si>
    <t>PODE / PV / PRP / PATRI / PPS / AVANTE / REDE / PHS</t>
  </si>
  <si>
    <t>RESISTÊNCIA PELO PIAUÍ 2</t>
  </si>
  <si>
    <t>PV / PPS / REDE</t>
  </si>
  <si>
    <t>COLIGAÇÃO RIO GRANDE UNIDO E FORTE</t>
  </si>
  <si>
    <t>PSDB / PTB / PRB / REDE / PP</t>
  </si>
  <si>
    <t>COLIGAÇÃO DO BEM E DA VERDADE PARA MUDAR O PARANÁ</t>
  </si>
  <si>
    <t>REDE / DC / PPL</t>
  </si>
  <si>
    <t>MINAS À FRENTE</t>
  </si>
  <si>
    <t>PRTB / REDE</t>
  </si>
  <si>
    <t>UNIDOS PARA TRANSFORMAR O BRASIL</t>
  </si>
  <si>
    <t>REDE / PV</t>
  </si>
  <si>
    <t>BRASÍLIA DE MÃOS LIMPAS</t>
  </si>
  <si>
    <t>PSB / PV / PC do B / PDT / REDE</t>
  </si>
  <si>
    <t>PODE</t>
  </si>
  <si>
    <t>Podemos</t>
  </si>
  <si>
    <t>PERNAMBUCO VAI MUDAR COM SEUS DEPUTADOS FEDERAIS</t>
  </si>
  <si>
    <t>PTB / DEM / PSDB / PSC / PRB / PODE / PPS</t>
  </si>
  <si>
    <t>PERNAMBUCO VAI MUDAR COM SEUS DEPUTADOS ESTADUAIS</t>
  </si>
  <si>
    <t>PTB / DEM / PSDB / PRB / PODE</t>
  </si>
  <si>
    <t>RESISTÊNCIA PELO PIAUÍ</t>
  </si>
  <si>
    <t>PODE / AVANTE / PATRI / REDE / PPS / PV / PRP / PHS</t>
  </si>
  <si>
    <t>AVANÇA MAIS ALAGOAS 1</t>
  </si>
  <si>
    <t>MDB / PPS / PDT / PR / PTB / PT / PRTB / PODE / PRP / PSD / PMN / AVANTE</t>
  </si>
  <si>
    <t>AVANÇA ALAGOAS</t>
  </si>
  <si>
    <t>AVANTE / PDT / PODE / PMN</t>
  </si>
  <si>
    <t>CHAPINHA - FPA II</t>
  </si>
  <si>
    <t>PSOL / PV / PPL / PRP / PRB / PODE / PROS / PMB</t>
  </si>
  <si>
    <t xml:space="preserve">FRENTE POPULAR REPUBLICANA SOCIAL </t>
  </si>
  <si>
    <t>PROS / PODE / PRB</t>
  </si>
  <si>
    <t>RENOVA AMAZONAS</t>
  </si>
  <si>
    <t>PODE / PMN / PSB / PROS</t>
  </si>
  <si>
    <t>RENOVAÇÃO E TRABALHO</t>
  </si>
  <si>
    <t>MDB / PSD / PR / PP / PTB / PSC / PSL / PRB / PMB / PHS / PODE</t>
  </si>
  <si>
    <t>100% RN I</t>
  </si>
  <si>
    <t>PDT / PP / MDB / PODE / DEM</t>
  </si>
  <si>
    <t xml:space="preserve">A FORÇA DO TRABALHO I </t>
  </si>
  <si>
    <t>PSB / PTB / PRB / PT / DEM / PDT / PC do B / PODE</t>
  </si>
  <si>
    <t>100% RN</t>
  </si>
  <si>
    <t>RENOVA PARÁ</t>
  </si>
  <si>
    <t>PODE / PTB / PSL / PROS / AVANTE</t>
  </si>
  <si>
    <t>ESPERANÇA E MUDANÇA 1</t>
  </si>
  <si>
    <t>PDT / PRB / PODE</t>
  </si>
  <si>
    <t>A FORÇA DO TRABALHO III</t>
  </si>
  <si>
    <t>PSB / PTB / PRB / PODE / PDT / PC do B / PRP</t>
  </si>
  <si>
    <t>MUDANÇA DE VERDADE</t>
  </si>
  <si>
    <t>PODE / PRP / PSC / PTC</t>
  </si>
  <si>
    <t>JUNTOS SOMOS FORTES</t>
  </si>
  <si>
    <t>PHS / PODE</t>
  </si>
  <si>
    <t>UNIDOS PELO DF 2</t>
  </si>
  <si>
    <t>PSD / PODE</t>
  </si>
  <si>
    <t>A MUDANÇA É AGORA I</t>
  </si>
  <si>
    <t>DEM / PROS / PRP / PDT / PSC / PODE</t>
  </si>
  <si>
    <t>JUNTOS NÓS PODEMOS</t>
  </si>
  <si>
    <t>PODE / PHS</t>
  </si>
  <si>
    <t>RESISTÊNCIA PELO PIAUÍ I</t>
  </si>
  <si>
    <t>PODE / PATRI / AVANTE / PRP / PHS</t>
  </si>
  <si>
    <t>FRENTE DO TRABALHO POR TODA BAHIA</t>
  </si>
  <si>
    <t>PT / PC do B / PP / PSB / PSD / PR / PODE</t>
  </si>
  <si>
    <t>FORÇA DO TRABALHO PELA BAHIA</t>
  </si>
  <si>
    <t>PT / PMB / PSD / PR / PDT / PODE / PRP / PP / PSB / AVANTE</t>
  </si>
  <si>
    <t>A FORÇA DA UNIAO II</t>
  </si>
  <si>
    <t>PP / PODE / PMN / PROS</t>
  </si>
  <si>
    <t>A FORÇA DA UNIÃO IV</t>
  </si>
  <si>
    <t>PRB / PP / PTB / PT / PMN / PODE / PROS / PR</t>
  </si>
  <si>
    <t>PARANA INOVADOR</t>
  </si>
  <si>
    <t>PSD / PSC / PV / PR / PRB / PHS / PPS / PODE / AVANTE</t>
  </si>
  <si>
    <t>RONDONIA, UNIDOS SOMOS FORTES 1</t>
  </si>
  <si>
    <t>MDB / PODE / PV</t>
  </si>
  <si>
    <t>PARA RENOVAR SERGIPE</t>
  </si>
  <si>
    <t>PODE / AVANTE / PMN / PATRI</t>
  </si>
  <si>
    <t>TRABALHO E UNIÃO</t>
  </si>
  <si>
    <t>PODE / PRP / PPL / PHS / PROS</t>
  </si>
  <si>
    <t>PDT, PODEMOS, PHS, PCDOB</t>
  </si>
  <si>
    <t>PC do B / PDT / PHS / PODE</t>
  </si>
  <si>
    <t>100% RN II</t>
  </si>
  <si>
    <t>SÃO PAULO CONFIA E AVANÇA</t>
  </si>
  <si>
    <t>PSB / PSC / PPS / PTB / PV / PR / PODE / PMB / PHS / PPL / PRP / PATRI / PROS / SOLIDARIEDADE / AVANTE</t>
  </si>
  <si>
    <t>MUDA PARANÁ</t>
  </si>
  <si>
    <t>PSD / PSC / PR / PPS / PODE</t>
  </si>
  <si>
    <t>RENOVA RIO GRANDE</t>
  </si>
  <si>
    <t>PV / PPL / AVANTE / PODE</t>
  </si>
  <si>
    <t>#JUNTOS POR MINAS</t>
  </si>
  <si>
    <t>PDT / PRB / PV / MDB / PODE</t>
  </si>
  <si>
    <t>A MUDANÇA É AGORA IV</t>
  </si>
  <si>
    <t>PODE / PRP</t>
  </si>
  <si>
    <t>UNIDOS POR SÃO PAULO</t>
  </si>
  <si>
    <t>PMB / PHS / PODE</t>
  </si>
  <si>
    <t>RENOVA TOCANTINS</t>
  </si>
  <si>
    <t>PSB / PSDB / PR / PODE / MDB / PSC</t>
  </si>
  <si>
    <t>PATRI</t>
  </si>
  <si>
    <t>Patriota</t>
  </si>
  <si>
    <t>MUDA ACRE DE VERDADE</t>
  </si>
  <si>
    <t>PSL / PATRI / PSC</t>
  </si>
  <si>
    <t>MUDA ALAGOAS DE VERDADE</t>
  </si>
  <si>
    <t>PSL / PATRI / PPL</t>
  </si>
  <si>
    <t>RENOVA DF</t>
  </si>
  <si>
    <t>PMB / PATRI</t>
  </si>
  <si>
    <t>PORQUE O POVO QUER I</t>
  </si>
  <si>
    <t>MDB / PR / PATRI</t>
  </si>
  <si>
    <t>PRTB - PPS - PATRIOTAS</t>
  </si>
  <si>
    <t>PPS / PRTB / PATRI</t>
  </si>
  <si>
    <t>PATRIOTA CRISTÃO</t>
  </si>
  <si>
    <t>PTC / PATRI</t>
  </si>
  <si>
    <t>PARÁ RENOVA</t>
  </si>
  <si>
    <t>AVANTE / PROS / PATRI / PTC / DC</t>
  </si>
  <si>
    <t>TODOS PELO MARANHÃO 2</t>
  </si>
  <si>
    <t>PDT / PP / PR / PATRI</t>
  </si>
  <si>
    <t>RENOVAR DF</t>
  </si>
  <si>
    <t>PTB / PHS / PTC / PATRI</t>
  </si>
  <si>
    <t>AVANÇAR COM RESPONSABILIDADE III</t>
  </si>
  <si>
    <t>PSD / PATRI / PMN / AVANTE</t>
  </si>
  <si>
    <t>AVANÇAR COM RESPONSABILIDADE IV</t>
  </si>
  <si>
    <t>PSDB / PATRI / PSD / PMB / DEM / PP</t>
  </si>
  <si>
    <t>CONSTRUIR UM NOVO BRASIL</t>
  </si>
  <si>
    <t>PATRI / PPL / PROS</t>
  </si>
  <si>
    <t>LIBERTA RORAIMA</t>
  </si>
  <si>
    <t>PATRIOTA</t>
  </si>
  <si>
    <t>MEU PARTIDO É O BRASIL. NOSSA MISSÃO É MATO GROSSO</t>
  </si>
  <si>
    <t>PATRIOTA / REPUBLICANOS</t>
  </si>
  <si>
    <t>RENOVA RN IV</t>
  </si>
  <si>
    <t>PATRI / PPL</t>
  </si>
  <si>
    <t>UNIDOS PELO RIO GRANDE</t>
  </si>
  <si>
    <t>PSB / PR / PATRI</t>
  </si>
  <si>
    <t>SANTA CATARINA EM PRIMEIRO LUGAR</t>
  </si>
  <si>
    <t>PMN / PATRI</t>
  </si>
  <si>
    <t>RONDÔNIA ACIMA DE TUDO</t>
  </si>
  <si>
    <t>PRB / PATRI</t>
  </si>
  <si>
    <t>RONDÔNIA, ESPERANÇA DE UM NOVO TEMPO</t>
  </si>
  <si>
    <t>PSDB / DEM / PSD / PRB / PATRI</t>
  </si>
  <si>
    <t>PATRIA BRASIL</t>
  </si>
  <si>
    <t>PSL / PTC / PATRI</t>
  </si>
  <si>
    <t>RENOVAÇÃO</t>
  </si>
  <si>
    <t>PATRI / PTC / PMB</t>
  </si>
  <si>
    <t>ENDIREITA PARANÁ</t>
  </si>
  <si>
    <t>ENDIREITA BRASIL</t>
  </si>
  <si>
    <t>RENOVA RN III</t>
  </si>
  <si>
    <t>PATRI / PSL / PSC / DC / PPL</t>
  </si>
  <si>
    <t>O RIO GRANDE NO CAMINHO CERTO</t>
  </si>
  <si>
    <t>PSD / PATRI / PR</t>
  </si>
  <si>
    <t>FÉ E TRABALHO II</t>
  </si>
  <si>
    <t>PSL / PATRI / PRP</t>
  </si>
  <si>
    <t>PV</t>
  </si>
  <si>
    <t>Partido Verde</t>
  </si>
  <si>
    <t>PSD/PP/PV</t>
  </si>
  <si>
    <t>PSD / PP / PV</t>
  </si>
  <si>
    <t>FRENTE - PSOL, PV, PRP E PPL</t>
  </si>
  <si>
    <t>PSOL / PV / PRP / PPL</t>
  </si>
  <si>
    <t>MARANHÃO QUER MAIS 2</t>
  </si>
  <si>
    <t>MDB / PV / PSD / PSC / PMB / PRP</t>
  </si>
  <si>
    <t>MARANHÃO QUER MAIS 1</t>
  </si>
  <si>
    <t>AQUI TEM TRABALHO</t>
  </si>
  <si>
    <t>DEM / PROS / PPL / PRP / PV</t>
  </si>
  <si>
    <t>ALAGOAS QUE O POVO QUER</t>
  </si>
  <si>
    <t>PT / PV / PC do B</t>
  </si>
  <si>
    <t>ALAGOAS QUE O POVO QUER! II</t>
  </si>
  <si>
    <t>PC do B / PV</t>
  </si>
  <si>
    <t>FORÇA DA ESPERANÇA II</t>
  </si>
  <si>
    <t>PV / PSD / PP / PTC / PHS / PSC / PSDB</t>
  </si>
  <si>
    <t>SUSTENTABILIDADE E TRABALHO</t>
  </si>
  <si>
    <t>PDT / PV</t>
  </si>
  <si>
    <t>PT/PV/PSB</t>
  </si>
  <si>
    <t>PT / PV / PSB</t>
  </si>
  <si>
    <t>FRENTE TRABALHISTA SUSTENTAVEL</t>
  </si>
  <si>
    <t>PDT / PMB / PV</t>
  </si>
  <si>
    <t>DÊ UMA CHANCE PARA RORAIMA</t>
  </si>
  <si>
    <t>PTB / PV / REDE / PT</t>
  </si>
  <si>
    <t>FORÇA E TRABALHO</t>
  </si>
  <si>
    <t>PV / PMN / PSOL</t>
  </si>
  <si>
    <t>EM DEFESA DO CEARÁ</t>
  </si>
  <si>
    <t>PT / PC do B / PP / PV / PR / PMN</t>
  </si>
  <si>
    <t>AVANÇA PERNAMBUCO</t>
  </si>
  <si>
    <t>PSL / PRTB / PHS / PV</t>
  </si>
  <si>
    <t>#MINAS PARA TODOS</t>
  </si>
  <si>
    <t>PDT / PV / PRB / MDB</t>
  </si>
  <si>
    <t>FORÇA DA ESPERANÇA</t>
  </si>
  <si>
    <t>PV / PSDB / PP / PSD / PSC / SOLIDARIEDADE / DC / PRTB / PHS / PTC / PSL / PPL</t>
  </si>
  <si>
    <t>RONDONIA, UNIDOS SOMOS FORTES 2</t>
  </si>
  <si>
    <t>MDB / PV</t>
  </si>
  <si>
    <t>POR UMA BAHIA MELHOR</t>
  </si>
  <si>
    <t>DEM / PRB / PV / PSDB</t>
  </si>
  <si>
    <t xml:space="preserve">DIGNIDADE PARA O POVO </t>
  </si>
  <si>
    <t>DEM / PRTB / PV</t>
  </si>
  <si>
    <t>UNIDOS PARA MUDAR A BAHIA</t>
  </si>
  <si>
    <t>DEM / PRB / PV</t>
  </si>
  <si>
    <t>COLIGAÇÃO PSB, PTB, PV, PSC, PPS</t>
  </si>
  <si>
    <t>PSB / PSC / PPS / PTB / PV</t>
  </si>
  <si>
    <t>PRA CUIDAR DE GOIÁS</t>
  </si>
  <si>
    <t>AVANTE / PR / PV</t>
  </si>
  <si>
    <t>A FORÇA DA UNIAO III</t>
  </si>
  <si>
    <t>PV / PTB</t>
  </si>
  <si>
    <t>HORA DE AVANÇAR</t>
  </si>
  <si>
    <t>PSB / PV / PSC / AVANTE / PTC / PPL</t>
  </si>
  <si>
    <t>MARANHÃO QUER MAIS</t>
  </si>
  <si>
    <t xml:space="preserve">MATO GROSSO ÉTICO E SUSTENTAVEL </t>
  </si>
  <si>
    <t>PV / PC do B</t>
  </si>
  <si>
    <t>PTC</t>
  </si>
  <si>
    <t>Partido Trabalhista Cristão</t>
  </si>
  <si>
    <t>PERNAMBUCO POR UMA PÁTRIA LIVRE</t>
  </si>
  <si>
    <t>PPL / PTC / PRP</t>
  </si>
  <si>
    <t>FORÇA DA ESPERANÇA V</t>
  </si>
  <si>
    <t>PP / PTC / PHS / PPL</t>
  </si>
  <si>
    <t>MUDANÇA COM COMPROMISSO</t>
  </si>
  <si>
    <t>PP / PMN / PPS / PTC / PR</t>
  </si>
  <si>
    <t>ALAGOAS COM O POVO I</t>
  </si>
  <si>
    <t>DEM / PTC / PSDB / PP / PSB / PSC / PROS / PRB</t>
  </si>
  <si>
    <t>ALAGOAS COM O POVO II</t>
  </si>
  <si>
    <t>PTC / PSDB / PP / PSB / PSC / PROS / PRB / DEM</t>
  </si>
  <si>
    <t xml:space="preserve">AMAZONAS COM SEGURANÇA </t>
  </si>
  <si>
    <t>PSD / PRB / DEM / PTC / PSDB</t>
  </si>
  <si>
    <t>AMAZONAS COM SEGURANÇA II</t>
  </si>
  <si>
    <t>PSDB / PTC</t>
  </si>
  <si>
    <t>AMOR, TRABALHO E FÉ II</t>
  </si>
  <si>
    <t>PSC / PR / DC / PRTB / PHS / PTC</t>
  </si>
  <si>
    <t>AMOR, TRABALHO E FÉ I</t>
  </si>
  <si>
    <t>PTC / PHS / PR / DC / PRTB / PSC</t>
  </si>
  <si>
    <t>SANTA CATARINA PODE MAIS</t>
  </si>
  <si>
    <t>PTB / PTC / PRTB / DC / AVANTE / PR / PPS</t>
  </si>
  <si>
    <t>RIO GRANDE VENCEDOR</t>
  </si>
  <si>
    <t>PSD / PSC / PMN / PRP / PTC</t>
  </si>
  <si>
    <t>AGORA É A HORA</t>
  </si>
  <si>
    <t>PSC / PMN / PTC / PRP</t>
  </si>
  <si>
    <t>TODOS PELO MARANHÃO 3</t>
  </si>
  <si>
    <t>PDT / PC do B / PSB / PRB / PR / DEM / PP / PTC / AVANTE</t>
  </si>
  <si>
    <t>AMAPÁ DA GENTE</t>
  </si>
  <si>
    <t>PRB / PTB / DC / PTC / PRP</t>
  </si>
  <si>
    <t>RORAIMA ACIMA DE TUDO</t>
  </si>
  <si>
    <t>PSL / PRB / PTC / PSC</t>
  </si>
  <si>
    <t>AVANÇA RN 1</t>
  </si>
  <si>
    <t>PTB / PPS / PMB / PTC / PRP</t>
  </si>
  <si>
    <t>POR RONDÔNIA</t>
  </si>
  <si>
    <t>PTC / DC</t>
  </si>
  <si>
    <t>A MUDANÇA É AGORA II</t>
  </si>
  <si>
    <t>PRTB / PTC / PMN / PMB</t>
  </si>
  <si>
    <t>TRABALHO E SUPERAÇÃO I</t>
  </si>
  <si>
    <t>PRB / PTB / PR / PPS / PMB / PTC / PSB / PSDB / PSD / AVANTE / PROS</t>
  </si>
  <si>
    <t>MOBILIZAR PRA MUDAR</t>
  </si>
  <si>
    <t>PMN / PTC</t>
  </si>
  <si>
    <t>A MUDANÇA É AGORA III</t>
  </si>
  <si>
    <t>DEM / PTC / PMB / PSC</t>
  </si>
  <si>
    <t>ESPÍRITO SANTO JUSTO</t>
  </si>
  <si>
    <t>PPS / AVANTE / PTC</t>
  </si>
  <si>
    <t>TIME DO TRABALHO DO POVO BAIANO</t>
  </si>
  <si>
    <t>PTC / PMN</t>
  </si>
  <si>
    <t>PRA MUDAR MATO GROSSO III</t>
  </si>
  <si>
    <t>PSC / PHS / PTC</t>
  </si>
  <si>
    <t>TIME DO TRABALHO DE TODOS OS BAIANOS</t>
  </si>
  <si>
    <t>PMN / PTC / PRP / PMB</t>
  </si>
  <si>
    <t>PTB</t>
  </si>
  <si>
    <t>Partido Trabalhista Brasileiro</t>
  </si>
  <si>
    <t>SANTA CATARINA MAIS FORTE</t>
  </si>
  <si>
    <t>PSDB / PPS / PTB / DC</t>
  </si>
  <si>
    <t>TODOS PELO MARANHÃO 4</t>
  </si>
  <si>
    <t>PTB / PROS / PPS / PPL</t>
  </si>
  <si>
    <t>EU VOTO NO AMAZONAS V</t>
  </si>
  <si>
    <t>PHS / PTB / PSL</t>
  </si>
  <si>
    <t xml:space="preserve">A VITÓRIA COM A FORÇA DO POVO </t>
  </si>
  <si>
    <t>PT / MDB / PP / PR / PDT / PSD / PC do B / PTB / PRTB</t>
  </si>
  <si>
    <t>A VITÓRIA COM A FORÇA DO POVO II</t>
  </si>
  <si>
    <t>MDB / PP / PTB / PC do B / PR / PDT / PSD / PT</t>
  </si>
  <si>
    <t>PROS / PTB / PMB</t>
  </si>
  <si>
    <t>PERNAMBUCO VAI MUDAR</t>
  </si>
  <si>
    <t>PTB / PPS / PSDB / DEM / PSC / PRB / PV / PODE / PRTB / PSL / PHS / DC / PMB</t>
  </si>
  <si>
    <t>AVANÇAR COM RESPONSABILIDADE</t>
  </si>
  <si>
    <t>PMN / DEM / PP / PSB / PTB / PSDB / PATRI / PSD / PPS / AVANTE / SOLIDARIEDADE / PROS</t>
  </si>
  <si>
    <t>PARA RENOVAR MINAS</t>
  </si>
  <si>
    <t>PTB / PMN</t>
  </si>
  <si>
    <t>PARANA DECIDE</t>
  </si>
  <si>
    <t>PP / PTB / DEM / PMN / PMB / PSB / PSDB / PROS</t>
  </si>
  <si>
    <t>PARANA FIRME</t>
  </si>
  <si>
    <t>PP / PTB / DEM / PSDB / PSB</t>
  </si>
  <si>
    <t>PARANA FORTE</t>
  </si>
  <si>
    <t>TRABALHO E PROGRESSO</t>
  </si>
  <si>
    <t>PP / PTB</t>
  </si>
  <si>
    <t>UNIDOS POR MINAS</t>
  </si>
  <si>
    <t>PSC / PTB / PMN</t>
  </si>
  <si>
    <t>PDT, PTB, DEM, PSB, PRP, PPL</t>
  </si>
  <si>
    <t>PDT / PTB / DEM / PSB / PRP / PPL</t>
  </si>
  <si>
    <t>SERGIPE MERECE MAIS</t>
  </si>
  <si>
    <t>PSB / PDT / PPL / PTB / PROS / PRP</t>
  </si>
  <si>
    <t>COLIGAÇÃO PSB, PTB, PPS, PSC</t>
  </si>
  <si>
    <t>PSB / PSC / PPS / PTB</t>
  </si>
  <si>
    <t>TRABALHO, DIGNIDADE E LUTA</t>
  </si>
  <si>
    <t>PC do B / PTB</t>
  </si>
  <si>
    <t>DEMOCRACIA E TRABALHO</t>
  </si>
  <si>
    <t>PTB / PSD</t>
  </si>
  <si>
    <t>INOVAÇÃO COM COMPETENCIA</t>
  </si>
  <si>
    <t>PTB / PMB</t>
  </si>
  <si>
    <t>POR UM NOVO SERGIPE</t>
  </si>
  <si>
    <t>PTB / PRP</t>
  </si>
  <si>
    <t>BAHIA LIVRE</t>
  </si>
  <si>
    <t>PSC / PTB / PPL</t>
  </si>
  <si>
    <t>PSTU</t>
  </si>
  <si>
    <t>Partido Socialista dos Trabalhadores Unificado</t>
  </si>
  <si>
    <t>FRENTE DE ESQUERDA SOCIALISTA</t>
  </si>
  <si>
    <t>PCB / PSOL / PSTU</t>
  </si>
  <si>
    <t>PSB</t>
  </si>
  <si>
    <t>Partido Socialista Brasileiro</t>
  </si>
  <si>
    <t>FRENTE POPULAR DE PERNAMBUCO PARA DEPUTADO ESTADUAL</t>
  </si>
  <si>
    <t>PSB / MDB / PSD</t>
  </si>
  <si>
    <t>FRENTE POPULAR DE PERNAMBUCO PARA DEPUTADO FEDERAL</t>
  </si>
  <si>
    <t>PSB / PC do B / MDB / PSD</t>
  </si>
  <si>
    <t>PIAUÍ DE VERDADE</t>
  </si>
  <si>
    <t>PSDB / PSB / DEM</t>
  </si>
  <si>
    <t>COM O POVO PRA AVANÇAR</t>
  </si>
  <si>
    <t>PT / PSB</t>
  </si>
  <si>
    <t>ESPIRITO SANTO MAIS IGUAL</t>
  </si>
  <si>
    <t>PSB / PHS / PROS / PV / PSC / AVANTE / PTC / PPS / PSDB / DEM / PDT / PP / PC do B / PPL / DC / SOLIDARIEDADE / PRP / PSD</t>
  </si>
  <si>
    <t>FRENTE POPULAR DO ACRE I</t>
  </si>
  <si>
    <t>PT / PSB / PHS / PC do B / DC</t>
  </si>
  <si>
    <t>RENOVA AMAZONAS II</t>
  </si>
  <si>
    <t>PSB / PMB / PROS</t>
  </si>
  <si>
    <t xml:space="preserve">JUNTOS POR RORAIMA </t>
  </si>
  <si>
    <t>AVANTE / PRP / PSB</t>
  </si>
  <si>
    <t>COM O POVO PRA RENASCER</t>
  </si>
  <si>
    <t>JUNTOS POR UM NOVO TEMPO PARA RONDONIA</t>
  </si>
  <si>
    <t>PDT / PSB / PTB / DC / PP / PR / SOLIDARIEDADE / PTC</t>
  </si>
  <si>
    <t xml:space="preserve">UNIDOS PARA VENCER </t>
  </si>
  <si>
    <t>AVANTE / PSB</t>
  </si>
  <si>
    <t>FRENTE POPULAR DE PERNAMBUCO</t>
  </si>
  <si>
    <t>PSB / PC do B / PT / MDB / PP / PR / PMN / PTC / PRP / PATRI / PSD / PPL / SOLIDARIEDADE</t>
  </si>
  <si>
    <t>JUNTOS COM O POVO</t>
  </si>
  <si>
    <t>PT / PR / PSB / DC / PC do B</t>
  </si>
  <si>
    <t>GOIÁS AVANÇA MAIS</t>
  </si>
  <si>
    <t>PSDB / PTB / PSB / PR / PSD / PPS / SOLIDARIEDADE / PV / AVANTE / REDE</t>
  </si>
  <si>
    <t>DEMOCRACIA COM FÉ E CORAGEM</t>
  </si>
  <si>
    <t>PSB / DC</t>
  </si>
  <si>
    <t>A FORÇA DO TRABALHO</t>
  </si>
  <si>
    <t>PSB / PDT / PT / DEM / PTB / PRP / PODE / PRB / PC do B / AVANTE / PPS / REDE / PMN / PROS</t>
  </si>
  <si>
    <t>UM NOVO GOVERNO PARA NOSSA GENTE</t>
  </si>
  <si>
    <t>PODE / PMN / PMB / PSB / PROS</t>
  </si>
  <si>
    <t>SEGUE EM FRENTE MATO GROSSO III</t>
  </si>
  <si>
    <t>PSB / PPS</t>
  </si>
  <si>
    <t>COMPROMISSO COM SERGIPE</t>
  </si>
  <si>
    <t>PSB / PDT / PROS / PPL</t>
  </si>
  <si>
    <t>PIAUÍ DE VERDADE III</t>
  </si>
  <si>
    <t>PSDB / DEM / PSB</t>
  </si>
  <si>
    <t>TRABALHO E SUPERAÇÃO II</t>
  </si>
  <si>
    <t>PR / PSB / PSDB / PSD / PROS</t>
  </si>
  <si>
    <t>PIAUI DE VERDADE II</t>
  </si>
  <si>
    <t>A VERDADEIRA MUDANÇA</t>
  </si>
  <si>
    <t>PSB / MDB / PR / PODE / PSC / PSDB</t>
  </si>
  <si>
    <t>RIO GRANDE NO RUMO CERTO</t>
  </si>
  <si>
    <t>MDB / PSD / PSB / PR / PSC / PATRI / PRP / PMN / PTC</t>
  </si>
  <si>
    <t>UNIDOS COM O POVO</t>
  </si>
  <si>
    <t>PT / PR / PSB</t>
  </si>
  <si>
    <t>GOIÁS AVANÇA MAIS - III</t>
  </si>
  <si>
    <t>PSDB / PSB / PPS</t>
  </si>
  <si>
    <t>PSOL</t>
  </si>
  <si>
    <t>Partido Socialismo e Liberdade</t>
  </si>
  <si>
    <t>RECONSTRUIR ALAGOAS</t>
  </si>
  <si>
    <t>PSOL / PCB</t>
  </si>
  <si>
    <t>VAMOS SEM MEDO DE MUDAR O BRASIL</t>
  </si>
  <si>
    <t xml:space="preserve"> PODER POPULAR NA CONSTRUÇÃO DO PIAUÍ </t>
  </si>
  <si>
    <t>JUNTOS PARA MUDAR</t>
  </si>
  <si>
    <t>PSOL / PPL / PCB</t>
  </si>
  <si>
    <t>A ESPERANÇA NÃO TEM MEDO</t>
  </si>
  <si>
    <t>PSOL-PCB</t>
  </si>
  <si>
    <t>SEM MEDO DE SER FELIZ</t>
  </si>
  <si>
    <t>PT / PSOL</t>
  </si>
  <si>
    <t xml:space="preserve">UM CAMINHO PRA GENTE </t>
  </si>
  <si>
    <t>INDEPENDÊNCIA E LUTA PARA MUDAR O RIO GRANDE</t>
  </si>
  <si>
    <t>FRENTE MINAS SOCIALISTA</t>
  </si>
  <si>
    <t>SEM MEDO DE MUDAR SÃO PAULO</t>
  </si>
  <si>
    <t>ELAS POR NÓS: SEM MEDO DE MUDAR O DF</t>
  </si>
  <si>
    <t>VAMOS SEM MEDO DE MUDAR O MARANHÃO</t>
  </si>
  <si>
    <t>PSL</t>
  </si>
  <si>
    <t>Partido Social Liberal</t>
  </si>
  <si>
    <t>JUNTOS PELO MARANHÃO 1</t>
  </si>
  <si>
    <t>PSL / PRTB</t>
  </si>
  <si>
    <t>FORÇA DA ESPERANÇA III</t>
  </si>
  <si>
    <t>PSL / DC / PRTB</t>
  </si>
  <si>
    <t>PÁTRIA E FAMÍLIA CRISTÃ</t>
  </si>
  <si>
    <t>PSL / DC</t>
  </si>
  <si>
    <t>UNIDOS PELO AMAPA</t>
  </si>
  <si>
    <t>PPS / PSL</t>
  </si>
  <si>
    <t>O AMAPÁ QUE QUEREMOS</t>
  </si>
  <si>
    <t>PPS / PHS / PR / PSL</t>
  </si>
  <si>
    <t>BAHIA ACIMA DE TUDO, DEUS ACIMA DE TODOS</t>
  </si>
  <si>
    <t>PRTB / PSL</t>
  </si>
  <si>
    <t>UMA NOVA ESPERANÇA</t>
  </si>
  <si>
    <t>PSL / PPL</t>
  </si>
  <si>
    <t>PIAUI ACIMA DE TUDO</t>
  </si>
  <si>
    <t>PROS / PSL</t>
  </si>
  <si>
    <t>AGORA É RORAIMA COM TUDO</t>
  </si>
  <si>
    <t>PSL / PRB / PTC / PRP / PROS / PSC / PPL</t>
  </si>
  <si>
    <t>TODOS POR RORAIMA JÁ</t>
  </si>
  <si>
    <t>PSL / PRP</t>
  </si>
  <si>
    <t>RIO GRANDE ACIMA DE TUDO</t>
  </si>
  <si>
    <t>DEM / PSL</t>
  </si>
  <si>
    <t>SÃO PAULO ACIMA DE TUDO, DEUS ACIMA DE TODOS</t>
  </si>
  <si>
    <t>BRASIL ACIMA DE TUDO</t>
  </si>
  <si>
    <t>DEM / PSL / PROS</t>
  </si>
  <si>
    <t>RENOVAÇÃO DE VERDADE</t>
  </si>
  <si>
    <t>BRASIL ACIMA DE TUDO, DEUS ACIMA DE TODOS</t>
  </si>
  <si>
    <t>JUNTO COM O POVO</t>
  </si>
  <si>
    <t>PSL / PMB / PRP / PMN</t>
  </si>
  <si>
    <t>ENDIREITA RIO GRANDE</t>
  </si>
  <si>
    <t>DEM / PROS / PSL</t>
  </si>
  <si>
    <t>RENOVA BAHIA</t>
  </si>
  <si>
    <t>PHS / PPS / PRTB / PSL</t>
  </si>
  <si>
    <t>PRA FAZER A DIFERENÇA I</t>
  </si>
  <si>
    <t>MDB / PP / PSL / AVANTE</t>
  </si>
  <si>
    <t xml:space="preserve">COLIGAÇÃO EM DEFESA DA VIDA E DA FAMILIA </t>
  </si>
  <si>
    <t>PR / PRB / PSL</t>
  </si>
  <si>
    <t>JUNTOS PARA RENOVAR</t>
  </si>
  <si>
    <t>DC / PSL</t>
  </si>
  <si>
    <t>PSD</t>
  </si>
  <si>
    <t>Partido Social Democrático</t>
  </si>
  <si>
    <t>MUDANÇA E COMPETÊNCIA</t>
  </si>
  <si>
    <t>PP / MDB / PSDB / DEM / PSD / PTB / PMN / SOLIDARIEDADE / PTC / PR / PPS</t>
  </si>
  <si>
    <t>MAIS TRABALHO POR TODA A BAHIA</t>
  </si>
  <si>
    <t>PT / PP / PDT / PSD / PSB / PC do B / PR / PMB / PRP / PODE / AVANTE / PMN / PROS / PTC</t>
  </si>
  <si>
    <t>MUDANÇA E COMPETÊNCIA - II</t>
  </si>
  <si>
    <t>PSD / MDB</t>
  </si>
  <si>
    <t>PSD/PP/PSC</t>
  </si>
  <si>
    <t>PSD / PP / PSC</t>
  </si>
  <si>
    <t>AMAZONAS COM SEGURANÇA I</t>
  </si>
  <si>
    <t>PSD / PRB / DEM</t>
  </si>
  <si>
    <t>ESPERANÇA RENOVADA</t>
  </si>
  <si>
    <t>MDB / DC / PSD</t>
  </si>
  <si>
    <t>ALIANÇA SOCIAL E DEMOCRATICA</t>
  </si>
  <si>
    <t>DEM / PSDB / PP / PSC / PSD / PATRI</t>
  </si>
  <si>
    <t>FAZER MAIS POR MATO GROSSO</t>
  </si>
  <si>
    <t>PSD / MDB / PTB / PP / PV</t>
  </si>
  <si>
    <t>AMAZONAS COM SEGURANÇA</t>
  </si>
  <si>
    <t>PSD / PSDB / DEM / PRB / PTC / PATRI</t>
  </si>
  <si>
    <t>PRA MUDAR MATO GROSSO II</t>
  </si>
  <si>
    <t>DEM / PDT / PSD / MDB / PMB</t>
  </si>
  <si>
    <t>PRA MUDAR MATO GROSSO IV</t>
  </si>
  <si>
    <t>DEM / PDT / PSC / MDB / PHS / PSD / PMB</t>
  </si>
  <si>
    <t>FORÇA DO TRABALHO</t>
  </si>
  <si>
    <t>PDT / DEM / PPL / PSD</t>
  </si>
  <si>
    <t>PSDB-PSD-DEM-PP</t>
  </si>
  <si>
    <t>PSDB / PSD / DEM / PP</t>
  </si>
  <si>
    <t>RONDÔNIA QUER MAIS</t>
  </si>
  <si>
    <t>PSDB / DEM / PSD</t>
  </si>
  <si>
    <t>AQUI É TRABALHO</t>
  </si>
  <si>
    <t>PSD / PRB / PDT / PSB / PODE / SOLIDARIEDADE / PROS / PSC / PC do B / PHS / PP / DEM / PRP / PPL / PV</t>
  </si>
  <si>
    <t>PRA SERGIPE AVANÇAR</t>
  </si>
  <si>
    <t>PP / MDB / DC / PC do B / PSD / PT / PHS</t>
  </si>
  <si>
    <t>PSDB-PSD-DEM-PP-PRB</t>
  </si>
  <si>
    <t>PSDB / PSD / DEM / PP / PRB</t>
  </si>
  <si>
    <t>TRABALHO E SUPERAÇÃO</t>
  </si>
  <si>
    <t>PRB / PTB / PR / PPS / PMB / PTC / PSB / PRP / PSDB / PSD / AVANTE / PROS</t>
  </si>
  <si>
    <t>INOVA PARANÁ</t>
  </si>
  <si>
    <t>PSC / PSD</t>
  </si>
  <si>
    <t>JUNTOS PARA RECONSTRUIR MINAS</t>
  </si>
  <si>
    <t>PSDB / PPS / DEM / PP / PSD</t>
  </si>
  <si>
    <t>PSC</t>
  </si>
  <si>
    <t>Partido Social Cristão</t>
  </si>
  <si>
    <t>O PARÁ DAQUI PRA FRENTE</t>
  </si>
  <si>
    <t>MDB / PP / PRB / PR / PSC / PTB / PHS / PODE / PMB / PTC / DC / PATRI / PSD / PSL / AVANTE / PROS</t>
  </si>
  <si>
    <t>CORAGEM PARA MUDAR A BAHIA</t>
  </si>
  <si>
    <t>DEM / PSDB / PSC / PTB / PRB / SOLIDARIEDADE / PV / PPL</t>
  </si>
  <si>
    <t>PRA FRENTE RORAIMA</t>
  </si>
  <si>
    <t>PRB / PSC</t>
  </si>
  <si>
    <t>JUNTOS POR UM PERNAMBUCO MELHOR PARA DEPUTADO ESTADUAL</t>
  </si>
  <si>
    <t>PSC / PMB / DC</t>
  </si>
  <si>
    <t>MUDA MATO GROSSO</t>
  </si>
  <si>
    <t>PSC / PRTB</t>
  </si>
  <si>
    <t>MAIS ORDEM, MAIS PROGRESSO</t>
  </si>
  <si>
    <t>PSC / PROS</t>
  </si>
  <si>
    <t>FRENTE RONDÔNIA POPULAR</t>
  </si>
  <si>
    <t>PMN / PSC / PHS / PC do B / PROS</t>
  </si>
  <si>
    <t xml:space="preserve">POR AMOR A RONDONIA </t>
  </si>
  <si>
    <t>PMN / PSC / PC do B</t>
  </si>
  <si>
    <t>PSC / PRTB / REDE</t>
  </si>
  <si>
    <t>NOVOS CAMINHOS</t>
  </si>
  <si>
    <t>PSDB / PSC</t>
  </si>
  <si>
    <t>SERGIPE MAIS FORTE</t>
  </si>
  <si>
    <t>PSDB / PRB / PSC / PR</t>
  </si>
  <si>
    <t>PRP</t>
  </si>
  <si>
    <t>Partido Republicano Progressista</t>
  </si>
  <si>
    <t>EU VOTO NO AMAZONAS II</t>
  </si>
  <si>
    <t>PPS / PPL / PRP / AVANTE</t>
  </si>
  <si>
    <t xml:space="preserve"> EU VOTO NO AMAZONAS III </t>
  </si>
  <si>
    <t>PDT / PRP / AVANTE</t>
  </si>
  <si>
    <t>AMOR, TRABALHO E FÉ III</t>
  </si>
  <si>
    <t>MDB / PRP</t>
  </si>
  <si>
    <t>A RENOVAÇÃO QUE A GENTE QUER</t>
  </si>
  <si>
    <t>PC do B / PRP</t>
  </si>
  <si>
    <t>LUTANDO PELO PARÁ</t>
  </si>
  <si>
    <t>PSDB / DEM / PDT / PRP</t>
  </si>
  <si>
    <t>PP, PDT, PR, DEM, PRP</t>
  </si>
  <si>
    <t>PP / PDT / PR / DEM / PRP</t>
  </si>
  <si>
    <t>A MUDANÇA É AGORA</t>
  </si>
  <si>
    <t>DEM / PRP / PROS / PMN / PMB / PSC / DC / PSL / PODE / PTC / PRTB / PDT</t>
  </si>
  <si>
    <t>UNIDOS PELO PARANÁ</t>
  </si>
  <si>
    <t>PRTB / PRP</t>
  </si>
  <si>
    <t>BRASÍLIA ACIMA DE TUDO</t>
  </si>
  <si>
    <t>PRP / PRTB</t>
  </si>
  <si>
    <t>UNIÃO PELO ESPIRITO SANTO</t>
  </si>
  <si>
    <t>PRP / PC do B</t>
  </si>
  <si>
    <t>COLIGAÇÃO PRP/PPL</t>
  </si>
  <si>
    <t>PRP / PPL</t>
  </si>
  <si>
    <t>COMPROMISSO POR MINAS</t>
  </si>
  <si>
    <t>PHS / PRP</t>
  </si>
  <si>
    <t>PROS</t>
  </si>
  <si>
    <t>Partido Republicano da Ordem Social</t>
  </si>
  <si>
    <t>JUNTOS DE VOCÊ</t>
  </si>
  <si>
    <t>PROS / PTB / PHS / PATRI / PMN / PTC / PMB</t>
  </si>
  <si>
    <t>ALAGOAS COM O POVO</t>
  </si>
  <si>
    <t>A FORÇA DO TRABALHO IV</t>
  </si>
  <si>
    <t>AVANTE / PT / PROS</t>
  </si>
  <si>
    <t>TÁ NA HORA DE MUDAR</t>
  </si>
  <si>
    <t>PSDB / PROS</t>
  </si>
  <si>
    <t>FIRME E FORTE, UNIDOS PELO PARANA</t>
  </si>
  <si>
    <t>PROS / PMB / PMN</t>
  </si>
  <si>
    <t>AVANÇAR COM RESPONSABILIDADE I</t>
  </si>
  <si>
    <t>PSDB / PROS / DEM</t>
  </si>
  <si>
    <t>COM A FORÇA DO POVO PRA SEGUIR CRESCENDO</t>
  </si>
  <si>
    <t>PDT / PC do B / MDB / PROS</t>
  </si>
  <si>
    <t>O PERNAMBUCO QUE VOCÊ QUER</t>
  </si>
  <si>
    <t>PROS / AVANTE / PDT</t>
  </si>
  <si>
    <t>RONDÔNIA NO CAMINHO DO PROGRESSO</t>
  </si>
  <si>
    <t>PHS / PROS</t>
  </si>
  <si>
    <t>RENOVAR DF 2</t>
  </si>
  <si>
    <t>FRENTE DO TRABALHO POR TODOS OS BAIANOS</t>
  </si>
  <si>
    <t>AVANTE / PROS</t>
  </si>
  <si>
    <t>ESPÍRITO SANTO MAIS FORTE</t>
  </si>
  <si>
    <t>PP / PROS / PPS / PHS / PC do B</t>
  </si>
  <si>
    <t>SOCIAL PROGRESSISTAS</t>
  </si>
  <si>
    <t>PP / PROS</t>
  </si>
  <si>
    <t>PRB</t>
  </si>
  <si>
    <t>Partido Republicano Brasileiro</t>
  </si>
  <si>
    <t>ESPERANÇA E MUDANÇA 2</t>
  </si>
  <si>
    <t>PDT / PRB</t>
  </si>
  <si>
    <t>ESPERANÇA E MUDANÇA</t>
  </si>
  <si>
    <t>COM A FORÇA DO POVO PRA SEGUIR AVANÇANDO</t>
  </si>
  <si>
    <t>PDT / MDB / DC / PRB</t>
  </si>
  <si>
    <t>TRABALHO E SUPERAÇÃO III</t>
  </si>
  <si>
    <t>PRB / AVANTE</t>
  </si>
  <si>
    <t>POR UM PARÁ MELHOR</t>
  </si>
  <si>
    <t>PRB / PMB</t>
  </si>
  <si>
    <t>A FORÇA DA UNIÃO I</t>
  </si>
  <si>
    <t>PR / PRB / PT / PC do B</t>
  </si>
  <si>
    <t>NOVAS IDEIAS NOVO GOIAS 2</t>
  </si>
  <si>
    <t>MDB / PRB</t>
  </si>
  <si>
    <t>PRB, PHS, PR, AVANTE</t>
  </si>
  <si>
    <t>PRB / PHS / PR / AVANTE</t>
  </si>
  <si>
    <t>PRB, PHS, AVANTE</t>
  </si>
  <si>
    <t>PRB / PHS / AVANTE</t>
  </si>
  <si>
    <t>NOVAS IDEIAS NOVO GOIAS 1</t>
  </si>
  <si>
    <t>MDB / PRB / PP</t>
  </si>
  <si>
    <t>PRTB</t>
  </si>
  <si>
    <t>Partido Renovador Trabalhista Brasileiro</t>
  </si>
  <si>
    <t>COLIGAÇÃO FRENTE TRABALHISTA CRISTÃ</t>
  </si>
  <si>
    <t>DC / PRTB</t>
  </si>
  <si>
    <t>CÍRCULO DEMOCRÁTICO</t>
  </si>
  <si>
    <t>PRTB / PPS / DC</t>
  </si>
  <si>
    <t>PARA CRESCER COM SANTA CATARINA</t>
  </si>
  <si>
    <t>AVANTE / PRTB</t>
  </si>
  <si>
    <t xml:space="preserve"> RENOVAÇÃO DEMOCRÁTICA I </t>
  </si>
  <si>
    <t>PR / PRTB</t>
  </si>
  <si>
    <t>PARÁ FICHA LIMPA</t>
  </si>
  <si>
    <t>PPS / PMN / PRTB</t>
  </si>
  <si>
    <t>FRENTE ALTERNATIVA 2</t>
  </si>
  <si>
    <t>PRTB / PDT / PTB</t>
  </si>
  <si>
    <t>A MUDANÇA É AGORA V</t>
  </si>
  <si>
    <t>PRTB / PMN</t>
  </si>
  <si>
    <t>PPS / PRTB / PPL</t>
  </si>
  <si>
    <t>RENOVAÇÃO DEMOCRÁTICA II</t>
  </si>
  <si>
    <t>PRTB / PR</t>
  </si>
  <si>
    <t>PP</t>
  </si>
  <si>
    <t>Partido Progressista</t>
  </si>
  <si>
    <t>RIO GRANDE DA GENTE</t>
  </si>
  <si>
    <t>PSDB / PTB / PRB / PPS / PHS / REDE / PP</t>
  </si>
  <si>
    <t>NA LUTA POR RORAIMA I</t>
  </si>
  <si>
    <t>PP / PDT / PC do B</t>
  </si>
  <si>
    <t>FRENTE HUMANISTA PROGRESSISTA</t>
  </si>
  <si>
    <t>PP / PHS</t>
  </si>
  <si>
    <t xml:space="preserve">NOVAS IDEIAS NOVO GOIÁS </t>
  </si>
  <si>
    <t>MDB / PRB / PHS / PP</t>
  </si>
  <si>
    <t>NA LUTA POR RORAIMA</t>
  </si>
  <si>
    <t>PP / PDT / PODE / PRTB / PR / PHS / PC do B</t>
  </si>
  <si>
    <t>NA LUTA POR RORAIMA II</t>
  </si>
  <si>
    <t>PDT / PP / PC do B</t>
  </si>
  <si>
    <t>PPS</t>
  </si>
  <si>
    <t>Partido Popular Socialista</t>
  </si>
  <si>
    <t>TODOS POR RORAIMA 2</t>
  </si>
  <si>
    <t>PPS / DEM / PSDB</t>
  </si>
  <si>
    <t>TODOS PELO MARANHÃO</t>
  </si>
  <si>
    <t>PC do B / PRB / PDT / PPS / DEM / PSB / PR / PP / PROS / PT / PTB / PATRI / PTC / SOLIDARIEDADE / PPL / AVANTE</t>
  </si>
  <si>
    <t>JUNTOS SOMOS MAIS FORTES</t>
  </si>
  <si>
    <t>PPS / PPL / DC</t>
  </si>
  <si>
    <t>TODOS POR RORAIMA 1</t>
  </si>
  <si>
    <t>PPS / DEM / PSDB / PMB</t>
  </si>
  <si>
    <t>JUNTOS SOMOS MAIS FORTES 1</t>
  </si>
  <si>
    <t>O RIO GRANDE QUE QUEREMOS</t>
  </si>
  <si>
    <t>PPS / PHS</t>
  </si>
  <si>
    <t>PPL</t>
  </si>
  <si>
    <t>Partido Pátria Livre</t>
  </si>
  <si>
    <t>NOVO</t>
  </si>
  <si>
    <t>Partido Novo</t>
  </si>
  <si>
    <t>PHS</t>
  </si>
  <si>
    <t>Partido Humanista da Solidariedade</t>
  </si>
  <si>
    <t>FORÇA DA UNIÃO FPA III</t>
  </si>
  <si>
    <t>PMB / PHS</t>
  </si>
  <si>
    <t>JUNTOS PELO MARANHÃO 2</t>
  </si>
  <si>
    <t>PMN / PHS</t>
  </si>
  <si>
    <t>JUNTOS PELO MARANHÃO</t>
  </si>
  <si>
    <t>ATITUDE E VERDADE</t>
  </si>
  <si>
    <t>PR / PHS</t>
  </si>
  <si>
    <t xml:space="preserve">RENOVAÇÃO </t>
  </si>
  <si>
    <t>DO LADO CERTO</t>
  </si>
  <si>
    <t>PT / PC do B / PHS</t>
  </si>
  <si>
    <t>PT</t>
  </si>
  <si>
    <t>Partido dos Trabalhadores</t>
  </si>
  <si>
    <t>FRENTE POPULAR DO ACRE</t>
  </si>
  <si>
    <t>PRB / PDT / PT / PODE / PROS / PC do B / PSB / PV / PSOL / PHS / PRTB / DC / PPL / PMB</t>
  </si>
  <si>
    <t>FRENTE POPULAR DO ACRE II</t>
  </si>
  <si>
    <t>PT / PC do B</t>
  </si>
  <si>
    <t>O POVO FELIZ DE NOVO</t>
  </si>
  <si>
    <t>PC do B / PT</t>
  </si>
  <si>
    <t>POR UM CEARA CADA VEZ MAIS FORTE</t>
  </si>
  <si>
    <t>PT / PDT / PP / PSB / PR / PTB / DEM / PC do B / PPS / PRP / PV / PMN / PPL / PATRI / PRTB / PMB</t>
  </si>
  <si>
    <t>DO LADO DO POVO</t>
  </si>
  <si>
    <t>PT / PC do B / PSB / DC / PR</t>
  </si>
  <si>
    <t>DEFESA DA VIDA, EDUCAÇÃO, TERRA, TRABALHO E CIDADANIA</t>
  </si>
  <si>
    <t>PRA VIVER EM PAZ</t>
  </si>
  <si>
    <t>POR UM RIO GRANDE JUSTO</t>
  </si>
  <si>
    <t>TOCANTINS DEMOCRÁTICO E POPULAR</t>
  </si>
  <si>
    <t>SÃO PAULO DO TRABALHO  E DE OPORTUNIDADES</t>
  </si>
  <si>
    <t>PT / PC do B / PROS</t>
  </si>
  <si>
    <t>PDT</t>
  </si>
  <si>
    <t>Partido Democrático Trabalhista</t>
  </si>
  <si>
    <t>#MINASTEMJEITO</t>
  </si>
  <si>
    <t>PDT / PODE / MDB / PROS / PRB / PV</t>
  </si>
  <si>
    <t>BRASIL SOBERANO</t>
  </si>
  <si>
    <t>PDT / AVANTE</t>
  </si>
  <si>
    <t>COM A FORÇA DO POVO POR MAIS CONQUISTAS</t>
  </si>
  <si>
    <t>PDT / PROS / PTB / MDB / DC / PRB / PRP / PC do B / PMB</t>
  </si>
  <si>
    <t>JUNTOS POR UM NOVO TEMPO PARA RONDONIA III</t>
  </si>
  <si>
    <t>PARANÁ: EMPREGO, EDUCAÇÃO E COMBATE A CORRUPÇÃO</t>
  </si>
  <si>
    <t>FRENTE TRABALHISTA</t>
  </si>
  <si>
    <t>PDT / PMB</t>
  </si>
  <si>
    <t>EU VOTO NO AMAZONAS</t>
  </si>
  <si>
    <t>PDT / PRP / AVANTE / PP / PV / PR / SOLIDARIEDADE / PPS / PTB / PHS / PSL / PPL</t>
  </si>
  <si>
    <t>PSDB</t>
  </si>
  <si>
    <t>Partido da Social Democracia Brasileira</t>
  </si>
  <si>
    <t>CORAGEM E RESPEITO PELO POVO</t>
  </si>
  <si>
    <t>PR / PSDB / DEM / DC</t>
  </si>
  <si>
    <t>MUDANÇA E COMPETÊNCIA III</t>
  </si>
  <si>
    <t>PSDB / DEM</t>
  </si>
  <si>
    <t>COMPROMISSO COM A MUDANÇA</t>
  </si>
  <si>
    <t>DEM / PSDB / AVANTE</t>
  </si>
  <si>
    <t>PARA UNIR O BRASIL</t>
  </si>
  <si>
    <t>PSDB / PTB / PP / PR / DEM / SOLIDARIEDADE / PPS / PRB / PSD</t>
  </si>
  <si>
    <t>MAIS POR SANTA CATARINA</t>
  </si>
  <si>
    <t>MDB / PSDB</t>
  </si>
  <si>
    <t xml:space="preserve">TODOS POR RORAIMA </t>
  </si>
  <si>
    <t>PSDB / DEM / MDB / PSD / PPS / SOLIDARIEDADE / DC</t>
  </si>
  <si>
    <t>ACELERASP</t>
  </si>
  <si>
    <t>PSDB / DEM / PSD / PRB / PP / PTC</t>
  </si>
  <si>
    <t>MATO GROSSO POR INTEIRO</t>
  </si>
  <si>
    <t>PTC / PSDB / DEM / PL</t>
  </si>
  <si>
    <t>CORAGEM E UNIÃO PARA FAZER O MARANHÃO MELHOR</t>
  </si>
  <si>
    <t>PODE / REDE / DC / PHS / PMN / PSDB</t>
  </si>
  <si>
    <t>SANTA CATARINA QUER MAIS</t>
  </si>
  <si>
    <t>MDB / AVANTE / PSDB / PTB / PTC / PRTB / DC / PR / PPS</t>
  </si>
  <si>
    <t>UNIÃO E FORÇA</t>
  </si>
  <si>
    <t>PSDB / PR / DEM</t>
  </si>
  <si>
    <t>TODOS PELO DF</t>
  </si>
  <si>
    <t>PSDB / DEM / DC</t>
  </si>
  <si>
    <t>PR</t>
  </si>
  <si>
    <t>Partido da República</t>
  </si>
  <si>
    <t>AVANÇA MAIS ALAGOAS</t>
  </si>
  <si>
    <t>MDB / PODE / PPS / PDT / PR / PTB / PHS / PV / PT / PRP / PRTB / PSD / DC / PC do B / AVANTE / PMN / SOLIDARIEDADE</t>
  </si>
  <si>
    <t>PORQUE O POVO QUER II</t>
  </si>
  <si>
    <t>MDB / PR</t>
  </si>
  <si>
    <t>MUITO MAIS SANTA CATARINA</t>
  </si>
  <si>
    <t>PMB</t>
  </si>
  <si>
    <t>Partido da Mulher Brasileira</t>
  </si>
  <si>
    <t>PMN</t>
  </si>
  <si>
    <t>Partido da Mobilização Nacional</t>
  </si>
  <si>
    <t>UMA NOVA HISTÓRIA PARA SERGIPE</t>
  </si>
  <si>
    <t>PCO</t>
  </si>
  <si>
    <t>Partido da Causa Operária</t>
  </si>
  <si>
    <t>PC do B</t>
  </si>
  <si>
    <t>Partido Comunista do Brasil</t>
  </si>
  <si>
    <t>PCB</t>
  </si>
  <si>
    <t>Partido Comunista Brasileiro</t>
  </si>
  <si>
    <t>MDB</t>
  </si>
  <si>
    <t>Movimento Democrático Brasileiro</t>
  </si>
  <si>
    <t>POR UM AMAZONAS MELHOR</t>
  </si>
  <si>
    <t>MDB / DC</t>
  </si>
  <si>
    <t>ESSA É A SOLUÇÃO</t>
  </si>
  <si>
    <t>MDB / PHS</t>
  </si>
  <si>
    <t>AMOR, TRABALHO E FÉ</t>
  </si>
  <si>
    <t>MDB / PR / DC / PRTB / PHS / PRP</t>
  </si>
  <si>
    <t>PRA FAZER A DIFERENÇA</t>
  </si>
  <si>
    <t>MDB / PP / AVANTE / PSL / PPL</t>
  </si>
  <si>
    <t>A FORÇA DO POVO</t>
  </si>
  <si>
    <t xml:space="preserve">PORQUE O POVO QUER </t>
  </si>
  <si>
    <t>MDB / PATRI / PR</t>
  </si>
  <si>
    <t xml:space="preserve">RONDONIA, UNIDOS SOMOS FORTES </t>
  </si>
  <si>
    <t>MDB / PODE / PMN / PSC / PC do B / PHS / PROS / PV</t>
  </si>
  <si>
    <t>AMOR, TRABALHO E FÉ IV</t>
  </si>
  <si>
    <t>PRA MUDAR DE VERDADE</t>
  </si>
  <si>
    <t>MDB / PP / PRB / PR / PSC / PTB / PHS / PMB / PODE / PTC / DC / PATRI / PSD / AVANTE / PSL / PROS</t>
  </si>
  <si>
    <t>DEM</t>
  </si>
  <si>
    <t>Democratas</t>
  </si>
  <si>
    <t>FORÇA DO RIO</t>
  </si>
  <si>
    <t>DEM / PP / MDB / PTB / SOLIDARIEDADE / PSDB / PPS / PV / DC / PHS / AVANTE / PMN</t>
  </si>
  <si>
    <t>EM DEFESA DO PARÁ</t>
  </si>
  <si>
    <t>DEM / PSDB / PDT / PSB / SOLIDARIEDADE / PRP / PMN / PRTB / PPS</t>
  </si>
  <si>
    <t>DC</t>
  </si>
  <si>
    <t>Democracia Cristã</t>
  </si>
  <si>
    <t>COLIGAÇÃO AGORA É A VEZ DO POVO</t>
  </si>
  <si>
    <t>AVANTE</t>
  </si>
  <si>
    <t>AVANÇA MATO GROSSO</t>
  </si>
  <si>
    <t>PDT / PROS / REDE / AVANTE / PSB</t>
  </si>
  <si>
    <t>Orientação</t>
  </si>
  <si>
    <t>Espectro político</t>
  </si>
  <si>
    <t>Direita</t>
  </si>
  <si>
    <t>Centro direita</t>
  </si>
  <si>
    <t>Centro</t>
  </si>
  <si>
    <t>Centro esquerda</t>
  </si>
  <si>
    <t>Esquerda</t>
  </si>
  <si>
    <t>Deputado Federal</t>
  </si>
  <si>
    <t>Deputado Estadual</t>
  </si>
  <si>
    <t>NM_UE</t>
  </si>
  <si>
    <t>SÃO PAULO</t>
  </si>
  <si>
    <t>MINAS GERAIS</t>
  </si>
  <si>
    <t>BAHIA</t>
  </si>
  <si>
    <t>CEARÁ</t>
  </si>
  <si>
    <t>PARANÁ</t>
  </si>
  <si>
    <t>PERNAMBUCO</t>
  </si>
  <si>
    <t>SANTA CATARINA</t>
  </si>
  <si>
    <t>RIO GRANDE DO SUL</t>
  </si>
  <si>
    <t>PARÁ</t>
  </si>
  <si>
    <t>PIAUÍ</t>
  </si>
  <si>
    <t>MARANHÃO</t>
  </si>
  <si>
    <t>GOIÁS</t>
  </si>
  <si>
    <t>MATO GROSSO DO SUL</t>
  </si>
  <si>
    <t>ESPÍRITO SANTO</t>
  </si>
  <si>
    <t>RIO GRANDE DO NORTE</t>
  </si>
  <si>
    <t>PARAÍBA</t>
  </si>
  <si>
    <t>AMAZONAS</t>
  </si>
  <si>
    <t>MATO GROSSO</t>
  </si>
  <si>
    <t>ALAGOAS</t>
  </si>
  <si>
    <t>DISTRITO FEDERAL</t>
  </si>
  <si>
    <t>SERGIPE</t>
  </si>
  <si>
    <t>TOCANTINS</t>
  </si>
  <si>
    <t>RONDÔNIA</t>
  </si>
  <si>
    <t>ACRE</t>
  </si>
  <si>
    <t>AMAPÁ</t>
  </si>
  <si>
    <t>RORAIMA</t>
  </si>
  <si>
    <t>Dep_Federal</t>
  </si>
  <si>
    <t>Dep_Estadual</t>
  </si>
  <si>
    <t>Indefinido</t>
  </si>
  <si>
    <t>Orientação (dar override na fórmula quando necessário)</t>
  </si>
  <si>
    <t>RIO DE JANEIRO</t>
  </si>
  <si>
    <t>-</t>
  </si>
  <si>
    <t>Rio de Janeiro</t>
  </si>
  <si>
    <t>São Paulo</t>
  </si>
  <si>
    <t>Distrito Federal</t>
  </si>
  <si>
    <t>Deputado Federal + Estadual</t>
  </si>
  <si>
    <t>Editar informações de partidos</t>
  </si>
  <si>
    <t>Editar informações de coligações</t>
  </si>
  <si>
    <t>Voltar ao painel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</si>
</sst>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3" fontId="0" fillId="0" borderId="0" xfId="0" applyNumberFormat="1"/>
    <xf numFmtId="3" fontId="2" fillId="0" borderId="0" xfId="0" applyNumberFormat="1" applyFont="1"/>
    <xf numFmtId="0" fontId="1" fillId="2" borderId="0" xfId="1"/>
    <xf numFmtId="0" fontId="1" fillId="5" borderId="0" xfId="4"/>
    <xf numFmtId="0" fontId="1" fillId="4" borderId="0" xfId="3"/>
    <xf numFmtId="0" fontId="1" fillId="7" borderId="0" xfId="6"/>
    <xf numFmtId="0" fontId="1" fillId="6" borderId="0" xfId="5"/>
    <xf numFmtId="0" fontId="1" fillId="8" borderId="0" xfId="2" applyFill="1"/>
    <xf numFmtId="0" fontId="0" fillId="0" borderId="1" xfId="0" applyBorder="1"/>
    <xf numFmtId="0" fontId="0" fillId="9" borderId="2" xfId="0" applyFill="1" applyBorder="1"/>
    <xf numFmtId="0" fontId="0" fillId="0" borderId="2" xfId="0" applyBorder="1"/>
    <xf numFmtId="0" fontId="0" fillId="0" borderId="3" xfId="0" applyBorder="1"/>
    <xf numFmtId="0" fontId="3" fillId="0" borderId="0" xfId="7"/>
    <xf numFmtId="0" fontId="0" fillId="0" borderId="0" xfId="0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top"/>
    </xf>
    <xf numFmtId="3" fontId="0" fillId="0" borderId="7" xfId="0" applyNumberForma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</cellXfs>
  <cellStyles count="8">
    <cellStyle name="20% - Accent1" xfId="1" builtinId="30"/>
    <cellStyle name="20% - Accent2" xfId="3" builtinId="34"/>
    <cellStyle name="40% - Accent6" xfId="6" builtinId="51"/>
    <cellStyle name="60% - Accent1" xfId="2" builtinId="32"/>
    <cellStyle name="60% - Accent2" xfId="4" builtinId="36"/>
    <cellStyle name="60% - Accent3" xfId="5" builtinId="40"/>
    <cellStyle name="Hyperlink" xfId="7" builtinId="8"/>
    <cellStyle name="Normal" xfId="0" builtinId="0"/>
  </cellStyles>
  <dxfs count="12">
    <dxf>
      <fill>
        <patternFill>
          <bgColor rgb="FFD9E1F2"/>
        </patternFill>
      </fill>
    </dxf>
    <dxf>
      <fill>
        <patternFill>
          <bgColor rgb="FFC6E0B4"/>
        </patternFill>
      </fill>
    </dxf>
    <dxf>
      <fill>
        <patternFill>
          <bgColor rgb="FFFCE4D6"/>
        </patternFill>
      </fill>
    </dxf>
    <dxf>
      <fill>
        <patternFill>
          <bgColor rgb="FFF4B084"/>
        </patternFill>
      </fill>
    </dxf>
    <dxf>
      <fill>
        <patternFill>
          <bgColor rgb="FFC9C9C9"/>
        </patternFill>
      </fill>
    </dxf>
    <dxf>
      <fill>
        <patternFill>
          <bgColor rgb="FF8EA9DB"/>
        </patternFill>
      </fill>
    </dxf>
    <dxf>
      <fill>
        <patternFill>
          <bgColor rgb="FF8EA9DB"/>
        </patternFill>
      </fill>
    </dxf>
    <dxf>
      <fill>
        <patternFill>
          <bgColor rgb="FFD9E1F2"/>
        </patternFill>
      </fill>
    </dxf>
    <dxf>
      <fill>
        <patternFill>
          <bgColor rgb="FFC6E0B4"/>
        </patternFill>
      </fill>
    </dxf>
    <dxf>
      <fill>
        <patternFill>
          <bgColor rgb="FFFCE4D6"/>
        </patternFill>
      </fill>
    </dxf>
    <dxf>
      <fill>
        <patternFill>
          <bgColor rgb="FFF4B084"/>
        </patternFill>
      </fill>
    </dxf>
    <dxf>
      <fill>
        <patternFill>
          <bgColor rgb="FFC9C9C9"/>
        </patternFill>
      </fill>
    </dxf>
  </dxfs>
  <tableStyles count="0" defaultTableStyle="TableStyleMedium2" defaultPivotStyle="PivotStyleLight16"/>
  <colors>
    <mruColors>
      <color rgb="FFC9C9C9"/>
      <color rgb="FFF4B084"/>
      <color rgb="FFFCE4D6"/>
      <color rgb="FFC6E0B4"/>
      <color rgb="FFD9E1F2"/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3</xdr:row>
      <xdr:rowOff>200624</xdr:rowOff>
    </xdr:from>
    <xdr:to>
      <xdr:col>8</xdr:col>
      <xdr:colOff>1048661</xdr:colOff>
      <xdr:row>3</xdr:row>
      <xdr:rowOff>784822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3796A-D609-4951-ACD3-E5D6EF0C2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7520" y="749264"/>
          <a:ext cx="962936" cy="591818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</xdr:colOff>
      <xdr:row>3</xdr:row>
      <xdr:rowOff>193004</xdr:rowOff>
    </xdr:from>
    <xdr:to>
      <xdr:col>0</xdr:col>
      <xdr:colOff>1012466</xdr:colOff>
      <xdr:row>3</xdr:row>
      <xdr:rowOff>781012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D63427-AB7E-4A4A-9E95-E79E53D2C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" y="741644"/>
          <a:ext cx="962936" cy="591818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</xdr:colOff>
      <xdr:row>5</xdr:row>
      <xdr:rowOff>260329</xdr:rowOff>
    </xdr:from>
    <xdr:to>
      <xdr:col>8</xdr:col>
      <xdr:colOff>971550</xdr:colOff>
      <xdr:row>5</xdr:row>
      <xdr:rowOff>779801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EB1508D-9192-4407-9903-E1011CD8F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7520" y="2637769"/>
          <a:ext cx="899160" cy="523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83820</xdr:colOff>
      <xdr:row>5</xdr:row>
      <xdr:rowOff>290809</xdr:rowOff>
    </xdr:from>
    <xdr:to>
      <xdr:col>0</xdr:col>
      <xdr:colOff>969645</xdr:colOff>
      <xdr:row>5</xdr:row>
      <xdr:rowOff>817901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07C8422-3AAB-4659-8128-8AF05FC88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2668249"/>
          <a:ext cx="899160" cy="523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175260</xdr:colOff>
      <xdr:row>4</xdr:row>
      <xdr:rowOff>196168</xdr:rowOff>
    </xdr:from>
    <xdr:to>
      <xdr:col>8</xdr:col>
      <xdr:colOff>990600</xdr:colOff>
      <xdr:row>4</xdr:row>
      <xdr:rowOff>744902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B4F5F6F-1B28-4EC0-BBB1-5D6B48DE95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3611" t="20925" r="23282" b="22510"/>
        <a:stretch/>
      </xdr:blipFill>
      <xdr:spPr>
        <a:xfrm>
          <a:off x="6926580" y="1659208"/>
          <a:ext cx="815340" cy="55254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4</xdr:row>
      <xdr:rowOff>203788</xdr:rowOff>
    </xdr:from>
    <xdr:to>
      <xdr:col>0</xdr:col>
      <xdr:colOff>971550</xdr:colOff>
      <xdr:row>4</xdr:row>
      <xdr:rowOff>744902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7D9710-68E2-423A-AA66-900E6FB57B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3611" t="20925" r="23282" b="22510"/>
        <a:stretch/>
      </xdr:blipFill>
      <xdr:spPr>
        <a:xfrm>
          <a:off x="152400" y="1666828"/>
          <a:ext cx="815340" cy="552544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</xdr:colOff>
      <xdr:row>10</xdr:row>
      <xdr:rowOff>215864</xdr:rowOff>
    </xdr:from>
    <xdr:to>
      <xdr:col>0</xdr:col>
      <xdr:colOff>1012466</xdr:colOff>
      <xdr:row>10</xdr:row>
      <xdr:rowOff>821017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37B48A5-0AFC-4DD8-A946-9E8F4057B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" y="4239224"/>
          <a:ext cx="962936" cy="591818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12</xdr:row>
      <xdr:rowOff>313669</xdr:rowOff>
    </xdr:from>
    <xdr:to>
      <xdr:col>0</xdr:col>
      <xdr:colOff>969645</xdr:colOff>
      <xdr:row>12</xdr:row>
      <xdr:rowOff>836951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D6E5184-DAE7-4312-A0AB-34E09B19E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6165829"/>
          <a:ext cx="899160" cy="523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11</xdr:row>
      <xdr:rowOff>226648</xdr:rowOff>
    </xdr:from>
    <xdr:to>
      <xdr:col>0</xdr:col>
      <xdr:colOff>971550</xdr:colOff>
      <xdr:row>11</xdr:row>
      <xdr:rowOff>783002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4A8C8B2-C075-4EB3-9401-6B2767F70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3611" t="20925" r="23282" b="22510"/>
        <a:stretch/>
      </xdr:blipFill>
      <xdr:spPr>
        <a:xfrm>
          <a:off x="152400" y="5164408"/>
          <a:ext cx="815340" cy="5525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32B6-619A-4C3C-9C82-B1D11D263B50}">
  <dimension ref="A2:O32"/>
  <sheetViews>
    <sheetView showGridLines="0" tabSelected="1" workbookViewId="0">
      <selection activeCell="D2" sqref="D2"/>
    </sheetView>
  </sheetViews>
  <sheetFormatPr defaultRowHeight="14.4" x14ac:dyDescent="0.3"/>
  <cols>
    <col min="1" max="1" width="16" bestFit="1" customWidth="1"/>
    <col min="2" max="7" width="14.5546875" style="2" customWidth="1"/>
    <col min="8" max="8" width="19.109375" bestFit="1" customWidth="1"/>
    <col min="9" max="9" width="16" bestFit="1" customWidth="1"/>
    <col min="10" max="15" width="14.5546875" customWidth="1"/>
  </cols>
  <sheetData>
    <row r="2" spans="1:15" x14ac:dyDescent="0.3">
      <c r="A2" s="1" t="s">
        <v>912</v>
      </c>
      <c r="I2" s="1" t="s">
        <v>913</v>
      </c>
      <c r="J2" s="2"/>
      <c r="K2" s="2"/>
      <c r="L2" s="2"/>
      <c r="M2" s="2"/>
      <c r="N2" s="2"/>
      <c r="O2" s="2"/>
    </row>
    <row r="3" spans="1:15" x14ac:dyDescent="0.3">
      <c r="B3" s="9" t="s">
        <v>907</v>
      </c>
      <c r="C3" s="4" t="s">
        <v>908</v>
      </c>
      <c r="D3" s="7" t="s">
        <v>909</v>
      </c>
      <c r="E3" s="6" t="s">
        <v>910</v>
      </c>
      <c r="F3" s="5" t="s">
        <v>911</v>
      </c>
      <c r="G3" s="8" t="s">
        <v>943</v>
      </c>
      <c r="J3" s="9" t="s">
        <v>907</v>
      </c>
      <c r="K3" s="4" t="s">
        <v>908</v>
      </c>
      <c r="L3" s="7" t="s">
        <v>909</v>
      </c>
      <c r="M3" s="6" t="s">
        <v>910</v>
      </c>
      <c r="N3" s="5" t="s">
        <v>911</v>
      </c>
      <c r="O3" s="8" t="s">
        <v>943</v>
      </c>
    </row>
    <row r="4" spans="1:15" s="15" customFormat="1" ht="72" customHeight="1" x14ac:dyDescent="0.3">
      <c r="A4" s="19" t="s">
        <v>948</v>
      </c>
      <c r="B4" s="20">
        <f>SUMIFS(Dados!$G:$G,Dados!$A:$A,'Partidos e estados'!$A4,Dados!$F:$F,'Partidos e estados'!B$3)</f>
        <v>4313204</v>
      </c>
      <c r="C4" s="21">
        <f>SUMIFS(Dados!$G:$G,Dados!$A:$A,'Partidos e estados'!$A4,Dados!$F:$F,'Partidos e estados'!C$3)</f>
        <v>4896968</v>
      </c>
      <c r="D4" s="21">
        <f>SUMIFS(Dados!$G:$G,Dados!$A:$A,'Partidos e estados'!$A4,Dados!$F:$F,'Partidos e estados'!D$3)</f>
        <v>836579</v>
      </c>
      <c r="E4" s="21">
        <f>SUMIFS(Dados!$G:$G,Dados!$A:$A,'Partidos e estados'!$A4,Dados!$F:$F,'Partidos e estados'!E$3)</f>
        <v>974805</v>
      </c>
      <c r="F4" s="21">
        <f>SUMIFS(Dados!$G:$G,Dados!$A:$A,'Partidos e estados'!$A4,Dados!$F:$F,'Partidos e estados'!F$3)</f>
        <v>4686899</v>
      </c>
      <c r="G4" s="22">
        <f>SUMIFS(Dados!$G:$G,Dados!$A:$A,'Partidos e estados'!$A4,Dados!$F:$F,'Partidos e estados'!G$3)</f>
        <v>3828775</v>
      </c>
      <c r="I4" s="19" t="s">
        <v>948</v>
      </c>
      <c r="J4" s="20">
        <f>SUMIFS(Dados!$H:$H,Dados!$A:$A,'Partidos e estados'!$A4,Dados!$F:$F,'Partidos e estados'!J$3)</f>
        <v>3887872</v>
      </c>
      <c r="K4" s="21">
        <f>SUMIFS(Dados!$H:$H,Dados!$A:$A,'Partidos e estados'!$A4,Dados!$F:$F,'Partidos e estados'!K$3)</f>
        <v>3167134</v>
      </c>
      <c r="L4" s="21">
        <f>SUMIFS(Dados!$H:$H,Dados!$A:$A,'Partidos e estados'!$A4,Dados!$F:$F,'Partidos e estados'!L$3)</f>
        <v>1033132</v>
      </c>
      <c r="M4" s="21">
        <f>SUMIFS(Dados!$H:$H,Dados!$A:$A,'Partidos e estados'!$A4,Dados!$F:$F,'Partidos e estados'!M$3)</f>
        <v>391095</v>
      </c>
      <c r="N4" s="21">
        <f>SUMIFS(Dados!$H:$H,Dados!$A:$A,'Partidos e estados'!$A4,Dados!$F:$F,'Partidos e estados'!N$3)</f>
        <v>5234330</v>
      </c>
      <c r="O4" s="22">
        <f>SUMIFS(Dados!$H:$H,Dados!$A:$A,'Partidos e estados'!$A4,Dados!$F:$F,'Partidos e estados'!O$3)</f>
        <v>4919715</v>
      </c>
    </row>
    <row r="5" spans="1:15" s="15" customFormat="1" ht="72" customHeight="1" x14ac:dyDescent="0.3">
      <c r="A5" s="19" t="s">
        <v>947</v>
      </c>
      <c r="B5" s="23">
        <f>SUMIFS(Dados!$G:$G,Dados!$A:$A,'Partidos e estados'!$A5,Dados!$F:$F,'Partidos e estados'!B$3)</f>
        <v>1859294</v>
      </c>
      <c r="C5" s="24">
        <f>SUMIFS(Dados!$G:$G,Dados!$A:$A,'Partidos e estados'!$A5,Dados!$F:$F,'Partidos e estados'!C$3)</f>
        <v>1708577</v>
      </c>
      <c r="D5" s="24">
        <f>SUMIFS(Dados!$G:$G,Dados!$A:$A,'Partidos e estados'!$A5,Dados!$F:$F,'Partidos e estados'!D$3)</f>
        <v>1212657</v>
      </c>
      <c r="E5" s="24">
        <f>SUMIFS(Dados!$G:$G,Dados!$A:$A,'Partidos e estados'!$A5,Dados!$F:$F,'Partidos e estados'!E$3)</f>
        <v>437226</v>
      </c>
      <c r="F5" s="24">
        <f>SUMIFS(Dados!$G:$G,Dados!$A:$A,'Partidos e estados'!$A5,Dados!$F:$F,'Partidos e estados'!F$3)</f>
        <v>1530362</v>
      </c>
      <c r="G5" s="25">
        <f>SUMIFS(Dados!$G:$G,Dados!$A:$A,'Partidos e estados'!$A5,Dados!$F:$F,'Partidos e estados'!G$3)</f>
        <v>493325</v>
      </c>
      <c r="I5" s="19" t="s">
        <v>947</v>
      </c>
      <c r="J5" s="23">
        <f>SUMIFS(Dados!$H:$H,Dados!$A:$A,'Partidos e estados'!$A5,Dados!$F:$F,'Partidos e estados'!J$3)</f>
        <v>1462428</v>
      </c>
      <c r="K5" s="24">
        <f>SUMIFS(Dados!$H:$H,Dados!$A:$A,'Partidos e estados'!$A5,Dados!$F:$F,'Partidos e estados'!K$3)</f>
        <v>1656820</v>
      </c>
      <c r="L5" s="24">
        <f>SUMIFS(Dados!$H:$H,Dados!$A:$A,'Partidos e estados'!$A5,Dados!$F:$F,'Partidos e estados'!L$3)</f>
        <v>1229584</v>
      </c>
      <c r="M5" s="24">
        <f>SUMIFS(Dados!$H:$H,Dados!$A:$A,'Partidos e estados'!$A5,Dados!$F:$F,'Partidos e estados'!M$3)</f>
        <v>650488</v>
      </c>
      <c r="N5" s="24">
        <f>SUMIFS(Dados!$H:$H,Dados!$A:$A,'Partidos e estados'!$A5,Dados!$F:$F,'Partidos e estados'!N$3)</f>
        <v>1527808</v>
      </c>
      <c r="O5" s="25">
        <f>SUMIFS(Dados!$H:$H,Dados!$A:$A,'Partidos e estados'!$A5,Dados!$F:$F,'Partidos e estados'!O$3)</f>
        <v>495797</v>
      </c>
    </row>
    <row r="6" spans="1:15" s="15" customFormat="1" ht="72" customHeight="1" x14ac:dyDescent="0.3">
      <c r="A6" s="19" t="s">
        <v>949</v>
      </c>
      <c r="B6" s="16">
        <f>SUMIFS(Dados!$G:$G,Dados!$A:$A,'Partidos e estados'!$A6,Dados!$F:$F,'Partidos e estados'!B$3)</f>
        <v>90395</v>
      </c>
      <c r="C6" s="17">
        <f>SUMIFS(Dados!$G:$G,Dados!$A:$A,'Partidos e estados'!$A6,Dados!$F:$F,'Partidos e estados'!C$3)</f>
        <v>423328</v>
      </c>
      <c r="D6" s="17">
        <f>SUMIFS(Dados!$G:$G,Dados!$A:$A,'Partidos e estados'!$A6,Dados!$F:$F,'Partidos e estados'!D$3)</f>
        <v>243198</v>
      </c>
      <c r="E6" s="17">
        <f>SUMIFS(Dados!$G:$G,Dados!$A:$A,'Partidos e estados'!$A6,Dados!$F:$F,'Partidos e estados'!E$3)</f>
        <v>0</v>
      </c>
      <c r="F6" s="17">
        <f>SUMIFS(Dados!$G:$G,Dados!$A:$A,'Partidos e estados'!$A6,Dados!$F:$F,'Partidos e estados'!F$3)</f>
        <v>346989</v>
      </c>
      <c r="G6" s="18">
        <f>SUMIFS(Dados!$G:$G,Dados!$A:$A,'Partidos e estados'!$A6,Dados!$F:$F,'Partidos e estados'!G$3)</f>
        <v>249273</v>
      </c>
      <c r="I6" s="19" t="s">
        <v>949</v>
      </c>
      <c r="J6" s="16">
        <f>SUMIFS(Dados!$H:$H,Dados!$A:$A,'Partidos e estados'!$A6,Dados!$F:$F,'Partidos e estados'!J$3)</f>
        <v>0</v>
      </c>
      <c r="K6" s="17">
        <f>SUMIFS(Dados!$H:$H,Dados!$A:$A,'Partidos e estados'!$A6,Dados!$F:$F,'Partidos e estados'!K$3)</f>
        <v>0</v>
      </c>
      <c r="L6" s="17">
        <f>SUMIFS(Dados!$H:$H,Dados!$A:$A,'Partidos e estados'!$A6,Dados!$F:$F,'Partidos e estados'!L$3)</f>
        <v>0</v>
      </c>
      <c r="M6" s="17">
        <f>SUMIFS(Dados!$H:$H,Dados!$A:$A,'Partidos e estados'!$A6,Dados!$F:$F,'Partidos e estados'!M$3)</f>
        <v>0</v>
      </c>
      <c r="N6" s="17">
        <f>SUMIFS(Dados!$H:$H,Dados!$A:$A,'Partidos e estados'!$A6,Dados!$F:$F,'Partidos e estados'!N$3)</f>
        <v>0</v>
      </c>
      <c r="O6" s="18">
        <f>SUMIFS(Dados!$H:$H,Dados!$A:$A,'Partidos e estados'!$A6,Dados!$F:$F,'Partidos e estados'!O$3)</f>
        <v>0</v>
      </c>
    </row>
    <row r="7" spans="1:15" x14ac:dyDescent="0.3">
      <c r="B7"/>
      <c r="C7"/>
      <c r="D7"/>
      <c r="E7"/>
      <c r="F7"/>
      <c r="G7"/>
    </row>
    <row r="8" spans="1:15" x14ac:dyDescent="0.3">
      <c r="B8"/>
      <c r="C8"/>
      <c r="D8"/>
      <c r="E8"/>
      <c r="F8"/>
      <c r="G8"/>
    </row>
    <row r="9" spans="1:15" x14ac:dyDescent="0.3">
      <c r="A9" s="1" t="s">
        <v>950</v>
      </c>
      <c r="B9"/>
      <c r="C9"/>
      <c r="D9"/>
      <c r="E9"/>
      <c r="F9"/>
      <c r="G9"/>
    </row>
    <row r="10" spans="1:15" x14ac:dyDescent="0.3">
      <c r="B10" s="9" t="s">
        <v>907</v>
      </c>
      <c r="C10" s="4" t="s">
        <v>908</v>
      </c>
      <c r="D10" s="7" t="s">
        <v>909</v>
      </c>
      <c r="E10" s="6" t="s">
        <v>910</v>
      </c>
      <c r="F10" s="5" t="s">
        <v>911</v>
      </c>
      <c r="G10" s="8" t="s">
        <v>943</v>
      </c>
    </row>
    <row r="11" spans="1:15" ht="72" customHeight="1" x14ac:dyDescent="0.3">
      <c r="A11" s="19" t="s">
        <v>948</v>
      </c>
      <c r="B11" s="20">
        <f>B4+J4</f>
        <v>8201076</v>
      </c>
      <c r="C11" s="21">
        <v>4896968</v>
      </c>
      <c r="D11" s="21">
        <v>836579</v>
      </c>
      <c r="E11" s="21">
        <v>974805</v>
      </c>
      <c r="F11" s="21">
        <v>4686899</v>
      </c>
      <c r="G11" s="22">
        <v>3828775</v>
      </c>
    </row>
    <row r="12" spans="1:15" ht="72" customHeight="1" x14ac:dyDescent="0.3">
      <c r="A12" s="19" t="s">
        <v>947</v>
      </c>
      <c r="B12" s="23">
        <v>1859294</v>
      </c>
      <c r="C12" s="24">
        <v>1708577</v>
      </c>
      <c r="D12" s="24">
        <v>1212657</v>
      </c>
      <c r="E12" s="24">
        <v>437226</v>
      </c>
      <c r="F12" s="24">
        <v>1530362</v>
      </c>
      <c r="G12" s="25">
        <v>493325</v>
      </c>
    </row>
    <row r="13" spans="1:15" ht="72" customHeight="1" x14ac:dyDescent="0.3">
      <c r="A13" s="19" t="s">
        <v>949</v>
      </c>
      <c r="B13" s="16">
        <v>90395</v>
      </c>
      <c r="C13" s="17">
        <v>423328</v>
      </c>
      <c r="D13" s="17">
        <v>243198</v>
      </c>
      <c r="E13" s="17">
        <v>0</v>
      </c>
      <c r="F13" s="17">
        <v>346989</v>
      </c>
      <c r="G13" s="18">
        <v>249273</v>
      </c>
    </row>
    <row r="14" spans="1:15" x14ac:dyDescent="0.3">
      <c r="B14"/>
      <c r="C14"/>
      <c r="D14"/>
      <c r="E14"/>
      <c r="F14"/>
      <c r="G14"/>
    </row>
    <row r="15" spans="1:15" x14ac:dyDescent="0.3">
      <c r="B15"/>
      <c r="C15"/>
      <c r="D15"/>
      <c r="E15"/>
      <c r="F15"/>
      <c r="G15"/>
    </row>
    <row r="16" spans="1:15" x14ac:dyDescent="0.3">
      <c r="B16"/>
      <c r="C16"/>
      <c r="D16"/>
      <c r="E16"/>
      <c r="F16"/>
      <c r="G16"/>
    </row>
    <row r="17" spans="1:1" customFormat="1" x14ac:dyDescent="0.3">
      <c r="A17" s="14" t="s">
        <v>951</v>
      </c>
    </row>
    <row r="18" spans="1:1" customFormat="1" x14ac:dyDescent="0.3">
      <c r="A18" s="14" t="s">
        <v>952</v>
      </c>
    </row>
    <row r="19" spans="1:1" customFormat="1" x14ac:dyDescent="0.3"/>
    <row r="20" spans="1:1" customFormat="1" x14ac:dyDescent="0.3"/>
    <row r="21" spans="1:1" customFormat="1" x14ac:dyDescent="0.3"/>
    <row r="22" spans="1:1" customFormat="1" x14ac:dyDescent="0.3"/>
    <row r="23" spans="1:1" customFormat="1" x14ac:dyDescent="0.3"/>
    <row r="24" spans="1:1" customFormat="1" x14ac:dyDescent="0.3"/>
    <row r="25" spans="1:1" customFormat="1" x14ac:dyDescent="0.3"/>
    <row r="26" spans="1:1" customFormat="1" x14ac:dyDescent="0.3"/>
    <row r="27" spans="1:1" customFormat="1" x14ac:dyDescent="0.3"/>
    <row r="28" spans="1:1" customFormat="1" x14ac:dyDescent="0.3"/>
    <row r="29" spans="1:1" customFormat="1" x14ac:dyDescent="0.3"/>
    <row r="30" spans="1:1" customFormat="1" x14ac:dyDescent="0.3"/>
    <row r="31" spans="1:1" customFormat="1" x14ac:dyDescent="0.3"/>
    <row r="32" spans="1:1" customFormat="1" x14ac:dyDescent="0.3"/>
  </sheetData>
  <conditionalFormatting sqref="B4:G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{EE343E1A-9FA7-48C1-BDF0-E8739F65D849}</x14:id>
        </ext>
      </extLst>
    </cfRule>
  </conditionalFormatting>
  <conditionalFormatting sqref="B5:G5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{1F969B19-F6D5-488E-8F6D-594D93DD8600}</x14:id>
        </ext>
      </extLst>
    </cfRule>
  </conditionalFormatting>
  <conditionalFormatting sqref="B6:G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{DDDB7DD4-9C7D-4360-9D94-39CDDCD9A72C}</x14:id>
        </ext>
      </extLst>
    </cfRule>
  </conditionalFormatting>
  <conditionalFormatting sqref="J4:O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{675A0359-A5BE-4430-AC39-10BADCD911CA}</x14:id>
        </ext>
      </extLst>
    </cfRule>
  </conditionalFormatting>
  <conditionalFormatting sqref="J5:O5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{8042017F-061D-429B-87E6-800609E87D7D}</x14:id>
        </ext>
      </extLst>
    </cfRule>
  </conditionalFormatting>
  <conditionalFormatting sqref="B11:G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{AD774ED7-4B0A-4330-8DA4-8A2F5464AEDB}</x14:id>
        </ext>
      </extLst>
    </cfRule>
  </conditionalFormatting>
  <conditionalFormatting sqref="B12:G1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{A0A51005-B124-4638-AB49-C092177E8F01}</x14:id>
        </ext>
      </extLst>
    </cfRule>
  </conditionalFormatting>
  <conditionalFormatting sqref="B13:G13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{D5CB054E-8901-4EE8-B444-FA6BEF5D7995}</x14:id>
        </ext>
      </extLst>
    </cfRule>
  </conditionalFormatting>
  <hyperlinks>
    <hyperlink ref="A17" location="Aux!K2:K54" display="Editar informações de partidos" xr:uid="{B6716FD6-8624-4548-B477-BCADBFF618FB}"/>
    <hyperlink ref="A18" location="Aux!E2:E1456" display="Editar informações de coligações" xr:uid="{59A68264-9A71-4A3D-A938-C366AC6FFD7E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343E1A-9FA7-48C1-BDF0-E8739F65D8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B4:G4</xm:sqref>
        </x14:conditionalFormatting>
        <x14:conditionalFormatting xmlns:xm="http://schemas.microsoft.com/office/excel/2006/main">
          <x14:cfRule type="dataBar" id="{1F969B19-F6D5-488E-8F6D-594D93DD86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B5:G5</xm:sqref>
        </x14:conditionalFormatting>
        <x14:conditionalFormatting xmlns:xm="http://schemas.microsoft.com/office/excel/2006/main">
          <x14:cfRule type="dataBar" id="{DDDB7DD4-9C7D-4360-9D94-39CDDCD9A7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B6:G6</xm:sqref>
        </x14:conditionalFormatting>
        <x14:conditionalFormatting xmlns:xm="http://schemas.microsoft.com/office/excel/2006/main">
          <x14:cfRule type="dataBar" id="{675A0359-A5BE-4430-AC39-10BADCD911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J4:O4</xm:sqref>
        </x14:conditionalFormatting>
        <x14:conditionalFormatting xmlns:xm="http://schemas.microsoft.com/office/excel/2006/main">
          <x14:cfRule type="dataBar" id="{8042017F-061D-429B-87E6-800609E87D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J5:O5</xm:sqref>
        </x14:conditionalFormatting>
        <x14:conditionalFormatting xmlns:xm="http://schemas.microsoft.com/office/excel/2006/main">
          <x14:cfRule type="dataBar" id="{AD774ED7-4B0A-4330-8DA4-8A2F5464AE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B11:G11</xm:sqref>
        </x14:conditionalFormatting>
        <x14:conditionalFormatting xmlns:xm="http://schemas.microsoft.com/office/excel/2006/main">
          <x14:cfRule type="dataBar" id="{A0A51005-B124-4638-AB49-C092177E8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D5CB054E-8901-4EE8-B444-FA6BEF5D79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B13:G13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0A94C-D45D-4831-A125-1655A49214DE}">
  <dimension ref="A1:H1435"/>
  <sheetViews>
    <sheetView showGridLines="0" topLeftCell="D1" workbookViewId="0">
      <selection activeCell="F1" sqref="F1"/>
    </sheetView>
  </sheetViews>
  <sheetFormatPr defaultRowHeight="14.4" x14ac:dyDescent="0.3"/>
  <cols>
    <col min="1" max="1" width="21.33203125" bestFit="1" customWidth="1"/>
    <col min="2" max="2" width="14.6640625" bestFit="1" customWidth="1"/>
    <col min="3" max="3" width="41.5546875" bestFit="1" customWidth="1"/>
    <col min="4" max="4" width="61.33203125" bestFit="1" customWidth="1"/>
    <col min="5" max="5" width="74.5546875" bestFit="1" customWidth="1"/>
    <col min="6" max="6" width="18.77734375" bestFit="1" customWidth="1"/>
    <col min="7" max="7" width="11.88671875" style="2" bestFit="1" customWidth="1"/>
    <col min="8" max="8" width="12.77734375" style="2" bestFit="1" customWidth="1"/>
  </cols>
  <sheetData>
    <row r="1" spans="1:8" x14ac:dyDescent="0.3">
      <c r="A1" s="1" t="s">
        <v>914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905</v>
      </c>
      <c r="G1" s="3" t="s">
        <v>941</v>
      </c>
      <c r="H1" s="3" t="s">
        <v>942</v>
      </c>
    </row>
    <row r="2" spans="1:8" x14ac:dyDescent="0.3">
      <c r="A2" t="s">
        <v>915</v>
      </c>
      <c r="B2" t="s">
        <v>558</v>
      </c>
      <c r="C2" t="s">
        <v>559</v>
      </c>
      <c r="D2" t="s">
        <v>100</v>
      </c>
      <c r="E2" t="s">
        <v>558</v>
      </c>
      <c r="F2" t="str">
        <f>IFERROR(INDEX(Aux!E:E,MATCH(Dados!E2,Aux!D:D,0)),INDEX(Aux!K:K,MATCH(Dados!B2,Aux!I:I,0)))</f>
        <v>Direita</v>
      </c>
      <c r="G2" s="2">
        <v>3998959</v>
      </c>
      <c r="H2" s="2">
        <v>3531041</v>
      </c>
    </row>
    <row r="3" spans="1:8" x14ac:dyDescent="0.3">
      <c r="A3" t="s">
        <v>915</v>
      </c>
      <c r="B3" t="s">
        <v>857</v>
      </c>
      <c r="C3" t="s">
        <v>858</v>
      </c>
      <c r="D3" t="s">
        <v>100</v>
      </c>
      <c r="E3" t="s">
        <v>857</v>
      </c>
      <c r="F3" t="str">
        <f>IFERROR(INDEX(Aux!E:E,MATCH(Dados!E3,Aux!D:D,0)),INDEX(Aux!K:K,MATCH(Dados!B3,Aux!I:I,0)))</f>
        <v>Centro direita</v>
      </c>
      <c r="G3" s="2">
        <v>1716237</v>
      </c>
      <c r="H3" s="2">
        <v>1135868</v>
      </c>
    </row>
    <row r="4" spans="1:8" x14ac:dyDescent="0.3">
      <c r="A4" t="s">
        <v>915</v>
      </c>
      <c r="B4" t="s">
        <v>799</v>
      </c>
      <c r="C4" t="s">
        <v>800</v>
      </c>
      <c r="D4" t="s">
        <v>815</v>
      </c>
      <c r="E4" t="s">
        <v>804</v>
      </c>
      <c r="F4" t="str">
        <f>IFERROR(INDEX(Aux!E:E,MATCH(Dados!E4,Aux!D:D,0)),INDEX(Aux!K:K,MATCH(Dados!B4,Aux!I:I,0)))</f>
        <v>Esquerda</v>
      </c>
      <c r="G4" s="2">
        <v>1711172</v>
      </c>
      <c r="H4" s="2">
        <v>0</v>
      </c>
    </row>
    <row r="5" spans="1:8" x14ac:dyDescent="0.3">
      <c r="A5" t="s">
        <v>915</v>
      </c>
      <c r="B5" t="s">
        <v>716</v>
      </c>
      <c r="C5" t="s">
        <v>717</v>
      </c>
      <c r="D5" t="s">
        <v>100</v>
      </c>
      <c r="E5" t="s">
        <v>716</v>
      </c>
      <c r="F5" t="str">
        <f>IFERROR(INDEX(Aux!E:E,MATCH(Dados!E5,Aux!D:D,0)),INDEX(Aux!K:K,MATCH(Dados!B5,Aux!I:I,0)))</f>
        <v>Centro direita</v>
      </c>
      <c r="G5" s="2">
        <v>1583444</v>
      </c>
      <c r="H5" s="2">
        <v>0</v>
      </c>
    </row>
    <row r="6" spans="1:8" x14ac:dyDescent="0.3">
      <c r="A6" t="s">
        <v>915</v>
      </c>
      <c r="B6" t="s">
        <v>831</v>
      </c>
      <c r="C6" t="s">
        <v>832</v>
      </c>
      <c r="D6" t="s">
        <v>625</v>
      </c>
      <c r="E6" t="s">
        <v>626</v>
      </c>
      <c r="F6" t="str">
        <f>IFERROR(INDEX(Aux!E:E,MATCH(Dados!E6,Aux!D:D,0)),INDEX(Aux!K:K,MATCH(Dados!B6,Aux!I:I,0)))</f>
        <v>Indefinido</v>
      </c>
      <c r="G6" s="2">
        <v>1514527</v>
      </c>
      <c r="H6" s="2">
        <v>0</v>
      </c>
    </row>
    <row r="7" spans="1:8" x14ac:dyDescent="0.3">
      <c r="A7" t="s">
        <v>916</v>
      </c>
      <c r="B7" t="s">
        <v>799</v>
      </c>
      <c r="C7" t="s">
        <v>800</v>
      </c>
      <c r="D7" t="s">
        <v>513</v>
      </c>
      <c r="E7" t="s">
        <v>514</v>
      </c>
      <c r="F7" t="str">
        <f>IFERROR(INDEX(Aux!E:E,MATCH(Dados!E7,Aux!D:D,0)),INDEX(Aux!K:K,MATCH(Dados!B7,Aux!I:I,0)))</f>
        <v>Direita</v>
      </c>
      <c r="G7" s="2">
        <v>1205543</v>
      </c>
      <c r="H7" s="2">
        <v>0</v>
      </c>
    </row>
    <row r="8" spans="1:8" x14ac:dyDescent="0.3">
      <c r="A8" t="s">
        <v>915</v>
      </c>
      <c r="B8" t="s">
        <v>893</v>
      </c>
      <c r="C8" t="s">
        <v>894</v>
      </c>
      <c r="D8" t="s">
        <v>625</v>
      </c>
      <c r="E8" t="s">
        <v>626</v>
      </c>
      <c r="F8" t="str">
        <f>IFERROR(INDEX(Aux!E:E,MATCH(Dados!E8,Aux!D:D,0)),INDEX(Aux!K:K,MATCH(Dados!B8,Aux!I:I,0)))</f>
        <v>Indefinido</v>
      </c>
      <c r="G8" s="2">
        <v>1070995</v>
      </c>
      <c r="H8" s="2">
        <v>0</v>
      </c>
    </row>
    <row r="9" spans="1:8" x14ac:dyDescent="0.3">
      <c r="A9" t="s">
        <v>915</v>
      </c>
      <c r="B9" t="s">
        <v>488</v>
      </c>
      <c r="C9" t="s">
        <v>489</v>
      </c>
      <c r="D9" t="s">
        <v>472</v>
      </c>
      <c r="E9" t="s">
        <v>473</v>
      </c>
      <c r="F9" t="str">
        <f>IFERROR(INDEX(Aux!E:E,MATCH(Dados!E9,Aux!D:D,0)),INDEX(Aux!K:K,MATCH(Dados!B9,Aux!I:I,0)))</f>
        <v>Esquerda</v>
      </c>
      <c r="G9" s="2">
        <v>1063417</v>
      </c>
      <c r="H9" s="2">
        <v>0</v>
      </c>
    </row>
    <row r="10" spans="1:8" x14ac:dyDescent="0.3">
      <c r="A10" t="s">
        <v>917</v>
      </c>
      <c r="B10" t="s">
        <v>799</v>
      </c>
      <c r="C10" t="s">
        <v>800</v>
      </c>
      <c r="D10" t="s">
        <v>249</v>
      </c>
      <c r="E10" t="s">
        <v>250</v>
      </c>
      <c r="F10" t="str">
        <f>IFERROR(INDEX(Aux!E:E,MATCH(Dados!E10,Aux!D:D,0)),INDEX(Aux!K:K,MATCH(Dados!B10,Aux!I:I,0)))</f>
        <v>Esquerda</v>
      </c>
      <c r="G10" s="2">
        <v>1032907</v>
      </c>
      <c r="H10" s="2">
        <v>0</v>
      </c>
    </row>
    <row r="11" spans="1:8" x14ac:dyDescent="0.3">
      <c r="A11" t="s">
        <v>916</v>
      </c>
      <c r="B11" t="s">
        <v>558</v>
      </c>
      <c r="C11" t="s">
        <v>559</v>
      </c>
      <c r="D11" t="s">
        <v>100</v>
      </c>
      <c r="E11" t="s">
        <v>558</v>
      </c>
      <c r="F11" t="str">
        <f>IFERROR(INDEX(Aux!E:E,MATCH(Dados!E11,Aux!D:D,0)),INDEX(Aux!K:K,MATCH(Dados!B11,Aux!I:I,0)))</f>
        <v>Direita</v>
      </c>
      <c r="G11" s="2">
        <v>1011998</v>
      </c>
      <c r="H11" s="2">
        <v>625443</v>
      </c>
    </row>
    <row r="12" spans="1:8" x14ac:dyDescent="0.3">
      <c r="A12" t="s">
        <v>918</v>
      </c>
      <c r="B12" t="s">
        <v>817</v>
      </c>
      <c r="C12" t="s">
        <v>818</v>
      </c>
      <c r="D12" t="s">
        <v>468</v>
      </c>
      <c r="E12" t="s">
        <v>469</v>
      </c>
      <c r="F12" t="str">
        <f>IFERROR(INDEX(Aux!E:E,MATCH(Dados!E12,Aux!D:D,0)),INDEX(Aux!K:K,MATCH(Dados!B12,Aux!I:I,0)))</f>
        <v>Indefinido</v>
      </c>
      <c r="G12" s="2">
        <v>919455</v>
      </c>
      <c r="H12" s="2">
        <v>0</v>
      </c>
    </row>
    <row r="13" spans="1:8" x14ac:dyDescent="0.3">
      <c r="A13" t="s">
        <v>919</v>
      </c>
      <c r="B13" t="s">
        <v>599</v>
      </c>
      <c r="C13" t="s">
        <v>600</v>
      </c>
      <c r="D13" t="s">
        <v>270</v>
      </c>
      <c r="E13" t="s">
        <v>271</v>
      </c>
      <c r="F13" t="str">
        <f>IFERROR(INDEX(Aux!E:E,MATCH(Dados!E13,Aux!D:D,0)),INDEX(Aux!K:K,MATCH(Dados!B13,Aux!I:I,0)))</f>
        <v>Centro direita</v>
      </c>
      <c r="G13" s="2">
        <v>913362</v>
      </c>
      <c r="H13" s="2">
        <v>0</v>
      </c>
    </row>
    <row r="14" spans="1:8" x14ac:dyDescent="0.3">
      <c r="A14" t="s">
        <v>920</v>
      </c>
      <c r="B14" t="s">
        <v>488</v>
      </c>
      <c r="C14" t="s">
        <v>489</v>
      </c>
      <c r="D14" t="s">
        <v>492</v>
      </c>
      <c r="E14" t="s">
        <v>493</v>
      </c>
      <c r="F14" t="str">
        <f>IFERROR(INDEX(Aux!E:E,MATCH(Dados!E14,Aux!D:D,0)),INDEX(Aux!K:K,MATCH(Dados!B14,Aux!I:I,0)))</f>
        <v>Centro</v>
      </c>
      <c r="G14" s="2">
        <v>892547</v>
      </c>
      <c r="H14" s="2">
        <v>0</v>
      </c>
    </row>
    <row r="15" spans="1:8" x14ac:dyDescent="0.3">
      <c r="A15" t="s">
        <v>915</v>
      </c>
      <c r="B15" t="s">
        <v>540</v>
      </c>
      <c r="C15" t="s">
        <v>541</v>
      </c>
      <c r="D15" t="s">
        <v>555</v>
      </c>
      <c r="E15" t="s">
        <v>543</v>
      </c>
      <c r="F15" t="str">
        <f>IFERROR(INDEX(Aux!E:E,MATCH(Dados!E15,Aux!D:D,0)),INDEX(Aux!K:K,MATCH(Dados!B15,Aux!I:I,0)))</f>
        <v>Esquerda</v>
      </c>
      <c r="G15" s="2">
        <v>875068</v>
      </c>
      <c r="H15" s="2">
        <v>836530</v>
      </c>
    </row>
    <row r="16" spans="1:8" x14ac:dyDescent="0.3">
      <c r="A16" t="s">
        <v>917</v>
      </c>
      <c r="B16" t="s">
        <v>599</v>
      </c>
      <c r="C16" t="s">
        <v>600</v>
      </c>
      <c r="D16" t="s">
        <v>249</v>
      </c>
      <c r="E16" t="s">
        <v>250</v>
      </c>
      <c r="F16" t="str">
        <f>IFERROR(INDEX(Aux!E:E,MATCH(Dados!E16,Aux!D:D,0)),INDEX(Aux!K:K,MATCH(Dados!B16,Aux!I:I,0)))</f>
        <v>Esquerda</v>
      </c>
      <c r="G16" s="2">
        <v>737263</v>
      </c>
      <c r="H16" s="2">
        <v>0</v>
      </c>
    </row>
    <row r="17" spans="1:8" x14ac:dyDescent="0.3">
      <c r="A17" t="s">
        <v>916</v>
      </c>
      <c r="B17" t="s">
        <v>831</v>
      </c>
      <c r="C17" t="s">
        <v>832</v>
      </c>
      <c r="D17" t="s">
        <v>76</v>
      </c>
      <c r="E17" t="s">
        <v>77</v>
      </c>
      <c r="F17" t="str">
        <f>IFERROR(INDEX(Aux!E:E,MATCH(Dados!E17,Aux!D:D,0)),INDEX(Aux!K:K,MATCH(Dados!B17,Aux!I:I,0)))</f>
        <v>Indefinido</v>
      </c>
      <c r="G17" s="2">
        <v>729125</v>
      </c>
      <c r="H17" s="2">
        <v>0</v>
      </c>
    </row>
    <row r="18" spans="1:8" x14ac:dyDescent="0.3">
      <c r="A18" t="s">
        <v>915</v>
      </c>
      <c r="B18" t="s">
        <v>785</v>
      </c>
      <c r="C18" t="s">
        <v>786</v>
      </c>
      <c r="D18" t="s">
        <v>100</v>
      </c>
      <c r="E18" t="s">
        <v>785</v>
      </c>
      <c r="F18" t="str">
        <f>IFERROR(INDEX(Aux!E:E,MATCH(Dados!E18,Aux!D:D,0)),INDEX(Aux!K:K,MATCH(Dados!B18,Aux!I:I,0)))</f>
        <v>Centro direita</v>
      </c>
      <c r="G18" s="2">
        <v>727927</v>
      </c>
      <c r="H18" s="2">
        <v>693981</v>
      </c>
    </row>
    <row r="19" spans="1:8" x14ac:dyDescent="0.3">
      <c r="A19" t="s">
        <v>921</v>
      </c>
      <c r="B19" t="s">
        <v>558</v>
      </c>
      <c r="C19" t="s">
        <v>559</v>
      </c>
      <c r="D19" t="s">
        <v>100</v>
      </c>
      <c r="E19" t="s">
        <v>558</v>
      </c>
      <c r="F19" t="str">
        <f>IFERROR(INDEX(Aux!E:E,MATCH(Dados!E19,Aux!D:D,0)),INDEX(Aux!K:K,MATCH(Dados!B19,Aux!I:I,0)))</f>
        <v>Direita</v>
      </c>
      <c r="G19" s="2">
        <v>714342</v>
      </c>
      <c r="H19" s="2">
        <v>494044</v>
      </c>
    </row>
    <row r="20" spans="1:8" x14ac:dyDescent="0.3">
      <c r="A20" t="s">
        <v>922</v>
      </c>
      <c r="B20" t="s">
        <v>799</v>
      </c>
      <c r="C20" t="s">
        <v>800</v>
      </c>
      <c r="D20" t="s">
        <v>100</v>
      </c>
      <c r="E20" t="s">
        <v>799</v>
      </c>
      <c r="F20" t="str">
        <f>IFERROR(INDEX(Aux!E:E,MATCH(Dados!E20,Aux!D:D,0)),INDEX(Aux!K:K,MATCH(Dados!B20,Aux!I:I,0)))</f>
        <v>Esquerda</v>
      </c>
      <c r="G20" s="2">
        <v>710708</v>
      </c>
      <c r="H20" s="2">
        <v>741094</v>
      </c>
    </row>
    <row r="21" spans="1:8" x14ac:dyDescent="0.3">
      <c r="A21" t="s">
        <v>915</v>
      </c>
      <c r="B21" t="s">
        <v>206</v>
      </c>
      <c r="C21" t="s">
        <v>207</v>
      </c>
      <c r="D21" t="s">
        <v>278</v>
      </c>
      <c r="E21" t="s">
        <v>279</v>
      </c>
      <c r="F21" t="str">
        <f>IFERROR(INDEX(Aux!E:E,MATCH(Dados!E21,Aux!D:D,0)),INDEX(Aux!K:K,MATCH(Dados!B21,Aux!I:I,0)))</f>
        <v>Centro direita</v>
      </c>
      <c r="G21" s="2">
        <v>673294</v>
      </c>
      <c r="H21" s="2">
        <v>0</v>
      </c>
    </row>
    <row r="22" spans="1:8" x14ac:dyDescent="0.3">
      <c r="A22" t="s">
        <v>915</v>
      </c>
      <c r="B22" t="s">
        <v>599</v>
      </c>
      <c r="C22" t="s">
        <v>600</v>
      </c>
      <c r="D22" t="s">
        <v>625</v>
      </c>
      <c r="E22" t="s">
        <v>626</v>
      </c>
      <c r="F22" t="str">
        <f>IFERROR(INDEX(Aux!E:E,MATCH(Dados!E22,Aux!D:D,0)),INDEX(Aux!K:K,MATCH(Dados!B22,Aux!I:I,0)))</f>
        <v>Indefinido</v>
      </c>
      <c r="G22" s="2">
        <v>660999</v>
      </c>
      <c r="H22" s="2">
        <v>0</v>
      </c>
    </row>
    <row r="23" spans="1:8" x14ac:dyDescent="0.3">
      <c r="A23" t="s">
        <v>922</v>
      </c>
      <c r="B23" t="s">
        <v>875</v>
      </c>
      <c r="C23" t="s">
        <v>876</v>
      </c>
      <c r="D23" t="s">
        <v>100</v>
      </c>
      <c r="E23" t="s">
        <v>875</v>
      </c>
      <c r="F23" t="str">
        <f>IFERROR(INDEX(Aux!E:E,MATCH(Dados!E23,Aux!D:D,0)),INDEX(Aux!K:K,MATCH(Dados!B23,Aux!I:I,0)))</f>
        <v>Centro</v>
      </c>
      <c r="G23" s="2">
        <v>644739</v>
      </c>
      <c r="H23" s="2">
        <v>713634</v>
      </c>
    </row>
    <row r="24" spans="1:8" x14ac:dyDescent="0.3">
      <c r="A24" t="s">
        <v>916</v>
      </c>
      <c r="B24" t="s">
        <v>902</v>
      </c>
      <c r="C24" t="s">
        <v>902</v>
      </c>
      <c r="D24" t="s">
        <v>100</v>
      </c>
      <c r="E24" t="s">
        <v>902</v>
      </c>
      <c r="F24" t="str">
        <f>IFERROR(INDEX(Aux!E:E,MATCH(Dados!E24,Aux!D:D,0)),INDEX(Aux!K:K,MATCH(Dados!B24,Aux!I:I,0)))</f>
        <v>Centro</v>
      </c>
      <c r="G24" s="2">
        <v>622340</v>
      </c>
      <c r="H24" s="2">
        <v>227808</v>
      </c>
    </row>
    <row r="25" spans="1:8" x14ac:dyDescent="0.3">
      <c r="A25" t="s">
        <v>916</v>
      </c>
      <c r="B25" t="s">
        <v>875</v>
      </c>
      <c r="C25" t="s">
        <v>876</v>
      </c>
      <c r="D25" t="s">
        <v>365</v>
      </c>
      <c r="E25" t="s">
        <v>366</v>
      </c>
      <c r="F25" t="str">
        <f>IFERROR(INDEX(Aux!E:E,MATCH(Dados!E25,Aux!D:D,0)),INDEX(Aux!K:K,MATCH(Dados!B25,Aux!I:I,0)))</f>
        <v>Centro</v>
      </c>
      <c r="G25" s="2">
        <v>583596</v>
      </c>
      <c r="H25" s="2">
        <v>0</v>
      </c>
    </row>
    <row r="26" spans="1:8" x14ac:dyDescent="0.3">
      <c r="A26" t="s">
        <v>915</v>
      </c>
      <c r="B26" t="s">
        <v>756</v>
      </c>
      <c r="C26" t="s">
        <v>757</v>
      </c>
      <c r="D26" t="s">
        <v>625</v>
      </c>
      <c r="E26" t="s">
        <v>626</v>
      </c>
      <c r="F26" t="str">
        <f>IFERROR(INDEX(Aux!E:E,MATCH(Dados!E26,Aux!D:D,0)),INDEX(Aux!K:K,MATCH(Dados!B26,Aux!I:I,0)))</f>
        <v>Indefinido</v>
      </c>
      <c r="G26" s="2">
        <v>582254</v>
      </c>
      <c r="H26" s="2">
        <v>0</v>
      </c>
    </row>
    <row r="27" spans="1:8" x14ac:dyDescent="0.3">
      <c r="A27" t="s">
        <v>917</v>
      </c>
      <c r="B27" t="s">
        <v>893</v>
      </c>
      <c r="C27" t="s">
        <v>894</v>
      </c>
      <c r="D27" t="s">
        <v>375</v>
      </c>
      <c r="E27" t="s">
        <v>376</v>
      </c>
      <c r="F27" t="str">
        <f>IFERROR(INDEX(Aux!E:E,MATCH(Dados!E27,Aux!D:D,0)),INDEX(Aux!K:K,MATCH(Dados!B27,Aux!I:I,0)))</f>
        <v>Indefinido</v>
      </c>
      <c r="G27" s="2">
        <v>558930</v>
      </c>
      <c r="H27" s="2">
        <v>0</v>
      </c>
    </row>
    <row r="28" spans="1:8" x14ac:dyDescent="0.3">
      <c r="A28" t="s">
        <v>922</v>
      </c>
      <c r="B28" t="s">
        <v>756</v>
      </c>
      <c r="C28" t="s">
        <v>757</v>
      </c>
      <c r="D28" t="s">
        <v>196</v>
      </c>
      <c r="E28" t="s">
        <v>197</v>
      </c>
      <c r="F28" t="str">
        <f>IFERROR(INDEX(Aux!E:E,MATCH(Dados!E28,Aux!D:D,0)),INDEX(Aux!K:K,MATCH(Dados!B28,Aux!I:I,0)))</f>
        <v>Centro direita</v>
      </c>
      <c r="G28" s="2">
        <v>539087</v>
      </c>
      <c r="H28" s="2">
        <v>0</v>
      </c>
    </row>
    <row r="29" spans="1:8" x14ac:dyDescent="0.3">
      <c r="A29" t="s">
        <v>919</v>
      </c>
      <c r="B29" t="s">
        <v>558</v>
      </c>
      <c r="C29" t="s">
        <v>559</v>
      </c>
      <c r="D29" t="s">
        <v>327</v>
      </c>
      <c r="E29" t="s">
        <v>323</v>
      </c>
      <c r="F29" t="str">
        <f>IFERROR(INDEX(Aux!E:E,MATCH(Dados!E29,Aux!D:D,0)),INDEX(Aux!K:K,MATCH(Dados!B29,Aux!I:I,0)))</f>
        <v>Direita</v>
      </c>
      <c r="G29" s="2">
        <v>536667</v>
      </c>
      <c r="H29" s="2">
        <v>0</v>
      </c>
    </row>
    <row r="30" spans="1:8" x14ac:dyDescent="0.3">
      <c r="A30" t="s">
        <v>921</v>
      </c>
      <c r="B30" t="s">
        <v>875</v>
      </c>
      <c r="C30" t="s">
        <v>876</v>
      </c>
      <c r="D30" t="s">
        <v>863</v>
      </c>
      <c r="E30" t="s">
        <v>862</v>
      </c>
      <c r="F30" t="str">
        <f>IFERROR(INDEX(Aux!E:E,MATCH(Dados!E30,Aux!D:D,0)),INDEX(Aux!K:K,MATCH(Dados!B30,Aux!I:I,0)))</f>
        <v>Centro</v>
      </c>
      <c r="G30" s="2">
        <v>535480</v>
      </c>
      <c r="H30" s="2">
        <v>0</v>
      </c>
    </row>
    <row r="31" spans="1:8" x14ac:dyDescent="0.3">
      <c r="A31" t="s">
        <v>915</v>
      </c>
      <c r="B31" t="s">
        <v>875</v>
      </c>
      <c r="C31" t="s">
        <v>876</v>
      </c>
      <c r="D31" t="s">
        <v>100</v>
      </c>
      <c r="E31" t="s">
        <v>875</v>
      </c>
      <c r="F31" t="str">
        <f>IFERROR(INDEX(Aux!E:E,MATCH(Dados!E31,Aux!D:D,0)),INDEX(Aux!K:K,MATCH(Dados!B31,Aux!I:I,0)))</f>
        <v>Centro</v>
      </c>
      <c r="G31" s="2">
        <v>495622</v>
      </c>
      <c r="H31" s="2">
        <v>529323</v>
      </c>
    </row>
    <row r="32" spans="1:8" x14ac:dyDescent="0.3">
      <c r="A32" t="s">
        <v>917</v>
      </c>
      <c r="B32" t="s">
        <v>756</v>
      </c>
      <c r="C32" t="s">
        <v>757</v>
      </c>
      <c r="D32" t="s">
        <v>249</v>
      </c>
      <c r="E32" t="s">
        <v>250</v>
      </c>
      <c r="F32" t="str">
        <f>IFERROR(INDEX(Aux!E:E,MATCH(Dados!E32,Aux!D:D,0)),INDEX(Aux!K:K,MATCH(Dados!B32,Aux!I:I,0)))</f>
        <v>Esquerda</v>
      </c>
      <c r="G32" s="2">
        <v>481661</v>
      </c>
      <c r="H32" s="2">
        <v>0</v>
      </c>
    </row>
    <row r="33" spans="1:8" x14ac:dyDescent="0.3">
      <c r="A33" t="s">
        <v>918</v>
      </c>
      <c r="B33" t="s">
        <v>799</v>
      </c>
      <c r="C33" t="s">
        <v>800</v>
      </c>
      <c r="D33" t="s">
        <v>361</v>
      </c>
      <c r="E33" t="s">
        <v>362</v>
      </c>
      <c r="F33" t="str">
        <f>IFERROR(INDEX(Aux!E:E,MATCH(Dados!E33,Aux!D:D,0)),INDEX(Aux!K:K,MATCH(Dados!B33,Aux!I:I,0)))</f>
        <v>Esquerda</v>
      </c>
      <c r="G33" s="2">
        <v>481376</v>
      </c>
      <c r="H33" s="2">
        <v>0</v>
      </c>
    </row>
    <row r="34" spans="1:8" x14ac:dyDescent="0.3">
      <c r="A34" t="s">
        <v>919</v>
      </c>
      <c r="B34" t="s">
        <v>799</v>
      </c>
      <c r="C34" t="s">
        <v>800</v>
      </c>
      <c r="D34" t="s">
        <v>100</v>
      </c>
      <c r="E34" t="s">
        <v>799</v>
      </c>
      <c r="F34" t="str">
        <f>IFERROR(INDEX(Aux!E:E,MATCH(Dados!E34,Aux!D:D,0)),INDEX(Aux!K:K,MATCH(Dados!B34,Aux!I:I,0)))</f>
        <v>Esquerda</v>
      </c>
      <c r="G34" s="2">
        <v>460810</v>
      </c>
      <c r="H34" s="2">
        <v>356136</v>
      </c>
    </row>
    <row r="35" spans="1:8" x14ac:dyDescent="0.3">
      <c r="A35" t="s">
        <v>923</v>
      </c>
      <c r="B35" t="s">
        <v>875</v>
      </c>
      <c r="C35" t="s">
        <v>876</v>
      </c>
      <c r="D35" t="s">
        <v>224</v>
      </c>
      <c r="E35" t="s">
        <v>225</v>
      </c>
      <c r="F35" t="str">
        <f>IFERROR(INDEX(Aux!E:E,MATCH(Dados!E35,Aux!D:D,0)),INDEX(Aux!K:K,MATCH(Dados!B35,Aux!I:I,0)))</f>
        <v>Centro</v>
      </c>
      <c r="G35" s="2">
        <v>449314</v>
      </c>
      <c r="H35" s="2">
        <v>0</v>
      </c>
    </row>
    <row r="36" spans="1:8" x14ac:dyDescent="0.3">
      <c r="A36" t="s">
        <v>916</v>
      </c>
      <c r="B36" t="s">
        <v>599</v>
      </c>
      <c r="C36" t="s">
        <v>600</v>
      </c>
      <c r="D36" t="s">
        <v>76</v>
      </c>
      <c r="E36" t="s">
        <v>77</v>
      </c>
      <c r="F36" t="str">
        <f>IFERROR(INDEX(Aux!E:E,MATCH(Dados!E36,Aux!D:D,0)),INDEX(Aux!K:K,MATCH(Dados!B36,Aux!I:I,0)))</f>
        <v>Indefinido</v>
      </c>
      <c r="G36" s="2">
        <v>445397</v>
      </c>
      <c r="H36" s="2">
        <v>0</v>
      </c>
    </row>
    <row r="37" spans="1:8" x14ac:dyDescent="0.3">
      <c r="A37" t="s">
        <v>918</v>
      </c>
      <c r="B37" t="s">
        <v>690</v>
      </c>
      <c r="C37" t="s">
        <v>691</v>
      </c>
      <c r="D37" t="s">
        <v>100</v>
      </c>
      <c r="E37" t="s">
        <v>690</v>
      </c>
      <c r="F37" t="str">
        <f>IFERROR(INDEX(Aux!E:E,MATCH(Dados!E37,Aux!D:D,0)),INDEX(Aux!K:K,MATCH(Dados!B37,Aux!I:I,0)))</f>
        <v>Centro</v>
      </c>
      <c r="G37" s="2">
        <v>442053</v>
      </c>
      <c r="H37" s="2">
        <v>188608</v>
      </c>
    </row>
    <row r="38" spans="1:8" x14ac:dyDescent="0.3">
      <c r="A38" t="s">
        <v>922</v>
      </c>
      <c r="B38" t="s">
        <v>785</v>
      </c>
      <c r="C38" t="s">
        <v>786</v>
      </c>
      <c r="D38" t="s">
        <v>100</v>
      </c>
      <c r="E38" t="s">
        <v>785</v>
      </c>
      <c r="F38" t="str">
        <f>IFERROR(INDEX(Aux!E:E,MATCH(Dados!E38,Aux!D:D,0)),INDEX(Aux!K:K,MATCH(Dados!B38,Aux!I:I,0)))</f>
        <v>Centro direita</v>
      </c>
      <c r="G38" s="2">
        <v>424178</v>
      </c>
      <c r="H38" s="2">
        <v>168417</v>
      </c>
    </row>
    <row r="39" spans="1:8" x14ac:dyDescent="0.3">
      <c r="A39" t="s">
        <v>922</v>
      </c>
      <c r="B39" t="s">
        <v>817</v>
      </c>
      <c r="C39" t="s">
        <v>818</v>
      </c>
      <c r="D39" t="s">
        <v>355</v>
      </c>
      <c r="E39" t="s">
        <v>356</v>
      </c>
      <c r="F39" t="str">
        <f>IFERROR(INDEX(Aux!E:E,MATCH(Dados!E39,Aux!D:D,0)),INDEX(Aux!K:K,MATCH(Dados!B39,Aux!I:I,0)))</f>
        <v>Centro esquerda</v>
      </c>
      <c r="G39" s="2">
        <v>418979</v>
      </c>
      <c r="H39" s="2">
        <v>0</v>
      </c>
    </row>
    <row r="40" spans="1:8" x14ac:dyDescent="0.3">
      <c r="A40" t="s">
        <v>915</v>
      </c>
      <c r="B40" t="s">
        <v>334</v>
      </c>
      <c r="C40" t="s">
        <v>335</v>
      </c>
      <c r="D40" t="s">
        <v>100</v>
      </c>
      <c r="E40" t="s">
        <v>334</v>
      </c>
      <c r="F40" t="str">
        <f>IFERROR(INDEX(Aux!E:E,MATCH(Dados!E40,Aux!D:D,0)),INDEX(Aux!K:K,MATCH(Dados!B40,Aux!I:I,0)))</f>
        <v>Centro esquerda</v>
      </c>
      <c r="G40" s="2">
        <v>407824</v>
      </c>
      <c r="H40" s="2">
        <v>0</v>
      </c>
    </row>
    <row r="41" spans="1:8" x14ac:dyDescent="0.3">
      <c r="A41" t="s">
        <v>923</v>
      </c>
      <c r="B41" t="s">
        <v>599</v>
      </c>
      <c r="C41" t="s">
        <v>600</v>
      </c>
      <c r="D41" t="s">
        <v>224</v>
      </c>
      <c r="E41" t="s">
        <v>225</v>
      </c>
      <c r="F41" t="str">
        <f>IFERROR(INDEX(Aux!E:E,MATCH(Dados!E41,Aux!D:D,0)),INDEX(Aux!K:K,MATCH(Dados!B41,Aux!I:I,0)))</f>
        <v>Centro</v>
      </c>
      <c r="G41" s="2">
        <v>405916</v>
      </c>
      <c r="H41" s="2">
        <v>0</v>
      </c>
    </row>
    <row r="42" spans="1:8" x14ac:dyDescent="0.3">
      <c r="A42" t="s">
        <v>916</v>
      </c>
      <c r="B42" t="s">
        <v>785</v>
      </c>
      <c r="C42" t="s">
        <v>786</v>
      </c>
      <c r="D42" t="s">
        <v>100</v>
      </c>
      <c r="E42" t="s">
        <v>785</v>
      </c>
      <c r="F42" t="str">
        <f>IFERROR(INDEX(Aux!E:E,MATCH(Dados!E42,Aux!D:D,0)),INDEX(Aux!K:K,MATCH(Dados!B42,Aux!I:I,0)))</f>
        <v>Centro direita</v>
      </c>
      <c r="G42" s="2">
        <v>405519</v>
      </c>
      <c r="H42" s="2">
        <v>295303</v>
      </c>
    </row>
    <row r="43" spans="1:8" x14ac:dyDescent="0.3">
      <c r="A43" t="s">
        <v>923</v>
      </c>
      <c r="B43" t="s">
        <v>831</v>
      </c>
      <c r="C43" t="s">
        <v>832</v>
      </c>
      <c r="D43" t="s">
        <v>34</v>
      </c>
      <c r="E43" t="s">
        <v>35</v>
      </c>
      <c r="F43" t="str">
        <f>IFERROR(INDEX(Aux!E:E,MATCH(Dados!E43,Aux!D:D,0)),INDEX(Aux!K:K,MATCH(Dados!B43,Aux!I:I,0)))</f>
        <v>Indefinido</v>
      </c>
      <c r="G43" s="2">
        <v>394985</v>
      </c>
      <c r="H43" s="2">
        <v>0</v>
      </c>
    </row>
    <row r="44" spans="1:8" x14ac:dyDescent="0.3">
      <c r="A44" t="s">
        <v>917</v>
      </c>
      <c r="B44" t="s">
        <v>902</v>
      </c>
      <c r="C44" t="s">
        <v>902</v>
      </c>
      <c r="D44" t="s">
        <v>710</v>
      </c>
      <c r="E44" t="s">
        <v>711</v>
      </c>
      <c r="F44" t="str">
        <f>IFERROR(INDEX(Aux!E:E,MATCH(Dados!E44,Aux!D:D,0)),INDEX(Aux!K:K,MATCH(Dados!B44,Aux!I:I,0)))</f>
        <v>Centro</v>
      </c>
      <c r="G44" s="2">
        <v>383384</v>
      </c>
      <c r="H44" s="2">
        <v>0</v>
      </c>
    </row>
    <row r="45" spans="1:8" x14ac:dyDescent="0.3">
      <c r="A45" t="s">
        <v>922</v>
      </c>
      <c r="B45" t="s">
        <v>558</v>
      </c>
      <c r="C45" t="s">
        <v>559</v>
      </c>
      <c r="D45" t="s">
        <v>589</v>
      </c>
      <c r="E45" t="s">
        <v>590</v>
      </c>
      <c r="F45" t="str">
        <f>IFERROR(INDEX(Aux!E:E,MATCH(Dados!E45,Aux!D:D,0)),INDEX(Aux!K:K,MATCH(Dados!B45,Aux!I:I,0)))</f>
        <v>Indefinido</v>
      </c>
      <c r="G45" s="2">
        <v>382287</v>
      </c>
      <c r="H45" s="2">
        <v>0</v>
      </c>
    </row>
    <row r="46" spans="1:8" x14ac:dyDescent="0.3">
      <c r="A46" t="s">
        <v>916</v>
      </c>
      <c r="B46" t="s">
        <v>690</v>
      </c>
      <c r="C46" t="s">
        <v>691</v>
      </c>
      <c r="D46" t="s">
        <v>100</v>
      </c>
      <c r="E46" t="s">
        <v>690</v>
      </c>
      <c r="F46" t="str">
        <f>IFERROR(INDEX(Aux!E:E,MATCH(Dados!E46,Aux!D:D,0)),INDEX(Aux!K:K,MATCH(Dados!B46,Aux!I:I,0)))</f>
        <v>Centro</v>
      </c>
      <c r="G46" s="2">
        <v>374034</v>
      </c>
      <c r="H46" s="2">
        <v>179114</v>
      </c>
    </row>
    <row r="47" spans="1:8" x14ac:dyDescent="0.3">
      <c r="A47" t="s">
        <v>916</v>
      </c>
      <c r="B47" t="s">
        <v>787</v>
      </c>
      <c r="C47" t="s">
        <v>788</v>
      </c>
      <c r="D47" t="s">
        <v>688</v>
      </c>
      <c r="E47" t="s">
        <v>689</v>
      </c>
      <c r="F47" t="str">
        <f>IFERROR(INDEX(Aux!E:E,MATCH(Dados!E47,Aux!D:D,0)),INDEX(Aux!K:K,MATCH(Dados!B47,Aux!I:I,0)))</f>
        <v>Centro direita</v>
      </c>
      <c r="G47" s="2">
        <v>369621</v>
      </c>
      <c r="H47" s="2">
        <v>0</v>
      </c>
    </row>
    <row r="48" spans="1:8" x14ac:dyDescent="0.3">
      <c r="A48" t="s">
        <v>924</v>
      </c>
      <c r="B48" t="s">
        <v>799</v>
      </c>
      <c r="C48" t="s">
        <v>800</v>
      </c>
      <c r="D48" t="s">
        <v>450</v>
      </c>
      <c r="E48" t="s">
        <v>451</v>
      </c>
      <c r="F48" t="str">
        <f>IFERROR(INDEX(Aux!E:E,MATCH(Dados!E48,Aux!D:D,0)),INDEX(Aux!K:K,MATCH(Dados!B48,Aux!I:I,0)))</f>
        <v>Centro</v>
      </c>
      <c r="G48" s="2">
        <v>367057</v>
      </c>
      <c r="H48" s="2">
        <v>0</v>
      </c>
    </row>
    <row r="49" spans="1:8" x14ac:dyDescent="0.3">
      <c r="A49" t="s">
        <v>922</v>
      </c>
      <c r="B49" t="s">
        <v>488</v>
      </c>
      <c r="C49" t="s">
        <v>489</v>
      </c>
      <c r="D49" t="s">
        <v>314</v>
      </c>
      <c r="E49" t="s">
        <v>315</v>
      </c>
      <c r="F49" t="str">
        <f>IFERROR(INDEX(Aux!E:E,MATCH(Dados!E49,Aux!D:D,0)),INDEX(Aux!K:K,MATCH(Dados!B49,Aux!I:I,0)))</f>
        <v>Direita</v>
      </c>
      <c r="G49" s="2">
        <v>366195</v>
      </c>
      <c r="H49" s="2">
        <v>0</v>
      </c>
    </row>
    <row r="50" spans="1:8" x14ac:dyDescent="0.3">
      <c r="A50" t="s">
        <v>920</v>
      </c>
      <c r="B50" t="s">
        <v>799</v>
      </c>
      <c r="C50" t="s">
        <v>800</v>
      </c>
      <c r="D50" t="s">
        <v>100</v>
      </c>
      <c r="E50" t="s">
        <v>799</v>
      </c>
      <c r="F50" t="str">
        <f>IFERROR(INDEX(Aux!E:E,MATCH(Dados!E50,Aux!D:D,0)),INDEX(Aux!K:K,MATCH(Dados!B50,Aux!I:I,0)))</f>
        <v>Esquerda</v>
      </c>
      <c r="G50" s="2">
        <v>362005</v>
      </c>
      <c r="H50" s="2">
        <v>183886</v>
      </c>
    </row>
    <row r="51" spans="1:8" x14ac:dyDescent="0.3">
      <c r="A51" t="s">
        <v>915</v>
      </c>
      <c r="B51" t="s">
        <v>817</v>
      </c>
      <c r="C51" t="s">
        <v>818</v>
      </c>
      <c r="D51" t="s">
        <v>100</v>
      </c>
      <c r="E51" t="s">
        <v>817</v>
      </c>
      <c r="F51" t="str">
        <f>IFERROR(INDEX(Aux!E:E,MATCH(Dados!E51,Aux!D:D,0)),INDEX(Aux!K:K,MATCH(Dados!B51,Aux!I:I,0)))</f>
        <v>Centro esquerda</v>
      </c>
      <c r="G51" s="2">
        <v>359715</v>
      </c>
      <c r="H51" s="2">
        <v>217906</v>
      </c>
    </row>
    <row r="52" spans="1:8" x14ac:dyDescent="0.3">
      <c r="A52" t="s">
        <v>915</v>
      </c>
      <c r="B52" t="s">
        <v>770</v>
      </c>
      <c r="C52" t="s">
        <v>771</v>
      </c>
      <c r="D52" t="s">
        <v>472</v>
      </c>
      <c r="E52" t="s">
        <v>473</v>
      </c>
      <c r="F52" t="str">
        <f>IFERROR(INDEX(Aux!E:E,MATCH(Dados!E52,Aux!D:D,0)),INDEX(Aux!K:K,MATCH(Dados!B52,Aux!I:I,0)))</f>
        <v>Esquerda</v>
      </c>
      <c r="G52" s="2">
        <v>357207</v>
      </c>
      <c r="H52" s="2">
        <v>0</v>
      </c>
    </row>
    <row r="53" spans="1:8" x14ac:dyDescent="0.3">
      <c r="A53" t="s">
        <v>923</v>
      </c>
      <c r="B53" t="s">
        <v>799</v>
      </c>
      <c r="C53" t="s">
        <v>800</v>
      </c>
      <c r="D53" t="s">
        <v>812</v>
      </c>
      <c r="E53" t="s">
        <v>804</v>
      </c>
      <c r="F53" t="str">
        <f>IFERROR(INDEX(Aux!E:E,MATCH(Dados!E53,Aux!D:D,0)),INDEX(Aux!K:K,MATCH(Dados!B53,Aux!I:I,0)))</f>
        <v>Esquerda</v>
      </c>
      <c r="G53" s="2">
        <v>356818</v>
      </c>
      <c r="H53" s="2">
        <v>0</v>
      </c>
    </row>
    <row r="54" spans="1:8" x14ac:dyDescent="0.3">
      <c r="A54" t="s">
        <v>916</v>
      </c>
      <c r="B54" t="s">
        <v>756</v>
      </c>
      <c r="C54" t="s">
        <v>757</v>
      </c>
      <c r="D54" t="s">
        <v>76</v>
      </c>
      <c r="E54" t="s">
        <v>77</v>
      </c>
      <c r="F54" t="str">
        <f>IFERROR(INDEX(Aux!E:E,MATCH(Dados!E54,Aux!D:D,0)),INDEX(Aux!K:K,MATCH(Dados!B54,Aux!I:I,0)))</f>
        <v>Indefinido</v>
      </c>
      <c r="G54" s="2">
        <v>343355</v>
      </c>
      <c r="H54" s="2">
        <v>0</v>
      </c>
    </row>
    <row r="55" spans="1:8" x14ac:dyDescent="0.3">
      <c r="A55" t="s">
        <v>925</v>
      </c>
      <c r="B55" t="s">
        <v>857</v>
      </c>
      <c r="C55" t="s">
        <v>858</v>
      </c>
      <c r="D55" t="s">
        <v>298</v>
      </c>
      <c r="E55" t="s">
        <v>299</v>
      </c>
      <c r="F55" t="str">
        <f>IFERROR(INDEX(Aux!E:E,MATCH(Dados!E55,Aux!D:D,0)),INDEX(Aux!K:K,MATCH(Dados!B55,Aux!I:I,0)))</f>
        <v>Direita</v>
      </c>
      <c r="G55" s="2">
        <v>341506</v>
      </c>
      <c r="H55" s="2">
        <v>0</v>
      </c>
    </row>
    <row r="56" spans="1:8" x14ac:dyDescent="0.3">
      <c r="A56" t="s">
        <v>916</v>
      </c>
      <c r="B56" t="s">
        <v>716</v>
      </c>
      <c r="C56" t="s">
        <v>717</v>
      </c>
      <c r="D56" t="s">
        <v>365</v>
      </c>
      <c r="E56" t="s">
        <v>366</v>
      </c>
      <c r="F56" t="str">
        <f>IFERROR(INDEX(Aux!E:E,MATCH(Dados!E56,Aux!D:D,0)),INDEX(Aux!K:K,MATCH(Dados!B56,Aux!I:I,0)))</f>
        <v>Centro</v>
      </c>
      <c r="G56" s="2">
        <v>340437</v>
      </c>
      <c r="H56" s="2">
        <v>0</v>
      </c>
    </row>
    <row r="57" spans="1:8" x14ac:dyDescent="0.3">
      <c r="A57" t="s">
        <v>916</v>
      </c>
      <c r="B57" t="s">
        <v>857</v>
      </c>
      <c r="C57" t="s">
        <v>858</v>
      </c>
      <c r="D57" t="s">
        <v>513</v>
      </c>
      <c r="E57" t="s">
        <v>514</v>
      </c>
      <c r="F57" t="str">
        <f>IFERROR(INDEX(Aux!E:E,MATCH(Dados!E57,Aux!D:D,0)),INDEX(Aux!K:K,MATCH(Dados!B57,Aux!I:I,0)))</f>
        <v>Direita</v>
      </c>
      <c r="G57" s="2">
        <v>340200</v>
      </c>
      <c r="H57" s="2">
        <v>0</v>
      </c>
    </row>
    <row r="58" spans="1:8" x14ac:dyDescent="0.3">
      <c r="A58" t="s">
        <v>926</v>
      </c>
      <c r="B58" t="s">
        <v>558</v>
      </c>
      <c r="C58" t="s">
        <v>559</v>
      </c>
      <c r="D58" t="s">
        <v>564</v>
      </c>
      <c r="E58" t="s">
        <v>565</v>
      </c>
      <c r="F58" t="str">
        <f>IFERROR(INDEX(Aux!E:E,MATCH(Dados!E58,Aux!D:D,0)),INDEX(Aux!K:K,MATCH(Dados!B58,Aux!I:I,0)))</f>
        <v>Direita</v>
      </c>
      <c r="G58" s="2">
        <v>336482</v>
      </c>
      <c r="H58" s="2">
        <v>0</v>
      </c>
    </row>
    <row r="59" spans="1:8" x14ac:dyDescent="0.3">
      <c r="A59" t="s">
        <v>919</v>
      </c>
      <c r="B59" t="s">
        <v>756</v>
      </c>
      <c r="C59" t="s">
        <v>757</v>
      </c>
      <c r="D59" t="s">
        <v>463</v>
      </c>
      <c r="E59" t="s">
        <v>460</v>
      </c>
      <c r="F59" t="str">
        <f>IFERROR(INDEX(Aux!E:E,MATCH(Dados!E59,Aux!D:D,0)),INDEX(Aux!K:K,MATCH(Dados!B59,Aux!I:I,0)))</f>
        <v>Indefinido</v>
      </c>
      <c r="G59" s="2">
        <v>333211</v>
      </c>
      <c r="H59" s="2">
        <v>0</v>
      </c>
    </row>
    <row r="60" spans="1:8" x14ac:dyDescent="0.3">
      <c r="A60" t="s">
        <v>916</v>
      </c>
      <c r="B60" t="s">
        <v>488</v>
      </c>
      <c r="C60" t="s">
        <v>489</v>
      </c>
      <c r="D60" t="s">
        <v>513</v>
      </c>
      <c r="E60" t="s">
        <v>514</v>
      </c>
      <c r="F60" t="str">
        <f>IFERROR(INDEX(Aux!E:E,MATCH(Dados!E60,Aux!D:D,0)),INDEX(Aux!K:K,MATCH(Dados!B60,Aux!I:I,0)))</f>
        <v>Direita</v>
      </c>
      <c r="G60" s="2">
        <v>327197</v>
      </c>
      <c r="H60" s="2">
        <v>0</v>
      </c>
    </row>
    <row r="61" spans="1:8" x14ac:dyDescent="0.3">
      <c r="A61" t="s">
        <v>921</v>
      </c>
      <c r="B61" t="s">
        <v>799</v>
      </c>
      <c r="C61" t="s">
        <v>800</v>
      </c>
      <c r="D61" t="s">
        <v>100</v>
      </c>
      <c r="E61" t="s">
        <v>799</v>
      </c>
      <c r="F61" t="str">
        <f>IFERROR(INDEX(Aux!E:E,MATCH(Dados!E61,Aux!D:D,0)),INDEX(Aux!K:K,MATCH(Dados!B61,Aux!I:I,0)))</f>
        <v>Esquerda</v>
      </c>
      <c r="G61" s="2">
        <v>316312</v>
      </c>
      <c r="H61" s="2">
        <v>291799</v>
      </c>
    </row>
    <row r="62" spans="1:8" x14ac:dyDescent="0.3">
      <c r="A62" t="s">
        <v>922</v>
      </c>
      <c r="B62" t="s">
        <v>440</v>
      </c>
      <c r="C62" t="s">
        <v>441</v>
      </c>
      <c r="D62" t="s">
        <v>196</v>
      </c>
      <c r="E62" t="s">
        <v>197</v>
      </c>
      <c r="F62" t="str">
        <f>IFERROR(INDEX(Aux!E:E,MATCH(Dados!E62,Aux!D:D,0)),INDEX(Aux!K:K,MATCH(Dados!B62,Aux!I:I,0)))</f>
        <v>Centro direita</v>
      </c>
      <c r="G62" s="2">
        <v>302661</v>
      </c>
      <c r="H62" s="2">
        <v>0</v>
      </c>
    </row>
    <row r="63" spans="1:8" x14ac:dyDescent="0.3">
      <c r="A63" t="s">
        <v>919</v>
      </c>
      <c r="B63" t="s">
        <v>488</v>
      </c>
      <c r="C63" t="s">
        <v>489</v>
      </c>
      <c r="D63" t="s">
        <v>463</v>
      </c>
      <c r="E63" t="s">
        <v>460</v>
      </c>
      <c r="F63" t="str">
        <f>IFERROR(INDEX(Aux!E:E,MATCH(Dados!E63,Aux!D:D,0)),INDEX(Aux!K:K,MATCH(Dados!B63,Aux!I:I,0)))</f>
        <v>Indefinido</v>
      </c>
      <c r="G63" s="2">
        <v>298451</v>
      </c>
      <c r="H63" s="2">
        <v>0</v>
      </c>
    </row>
    <row r="64" spans="1:8" x14ac:dyDescent="0.3">
      <c r="A64" t="s">
        <v>917</v>
      </c>
      <c r="B64" t="s">
        <v>817</v>
      </c>
      <c r="C64" t="s">
        <v>818</v>
      </c>
      <c r="D64" t="s">
        <v>100</v>
      </c>
      <c r="E64" t="s">
        <v>817</v>
      </c>
      <c r="F64" t="str">
        <f>IFERROR(INDEX(Aux!E:E,MATCH(Dados!E64,Aux!D:D,0)),INDEX(Aux!K:K,MATCH(Dados!B64,Aux!I:I,0)))</f>
        <v>Centro esquerda</v>
      </c>
      <c r="G64" s="2">
        <v>294728</v>
      </c>
      <c r="H64" s="2">
        <v>0</v>
      </c>
    </row>
    <row r="65" spans="1:8" x14ac:dyDescent="0.3">
      <c r="A65" t="s">
        <v>919</v>
      </c>
      <c r="B65" t="s">
        <v>857</v>
      </c>
      <c r="C65" t="s">
        <v>858</v>
      </c>
      <c r="D65" t="s">
        <v>270</v>
      </c>
      <c r="E65" t="s">
        <v>271</v>
      </c>
      <c r="F65" t="str">
        <f>IFERROR(INDEX(Aux!E:E,MATCH(Dados!E65,Aux!D:D,0)),INDEX(Aux!K:K,MATCH(Dados!B65,Aux!I:I,0)))</f>
        <v>Centro direita</v>
      </c>
      <c r="G65" s="2">
        <v>292364</v>
      </c>
      <c r="H65" s="2">
        <v>0</v>
      </c>
    </row>
    <row r="66" spans="1:8" x14ac:dyDescent="0.3">
      <c r="A66" t="s">
        <v>926</v>
      </c>
      <c r="B66" t="s">
        <v>893</v>
      </c>
      <c r="C66" t="s">
        <v>894</v>
      </c>
      <c r="D66" t="s">
        <v>243</v>
      </c>
      <c r="E66" t="s">
        <v>244</v>
      </c>
      <c r="F66" t="str">
        <f>IFERROR(INDEX(Aux!E:E,MATCH(Dados!E66,Aux!D:D,0)),INDEX(Aux!K:K,MATCH(Dados!B66,Aux!I:I,0)))</f>
        <v>Indefinido</v>
      </c>
      <c r="G66" s="2">
        <v>290390</v>
      </c>
      <c r="H66" s="2">
        <v>0</v>
      </c>
    </row>
    <row r="67" spans="1:8" x14ac:dyDescent="0.3">
      <c r="A67" t="s">
        <v>921</v>
      </c>
      <c r="B67" t="s">
        <v>831</v>
      </c>
      <c r="C67" t="s">
        <v>832</v>
      </c>
      <c r="D67" t="s">
        <v>442</v>
      </c>
      <c r="E67" t="s">
        <v>443</v>
      </c>
      <c r="F67" t="str">
        <f>IFERROR(INDEX(Aux!E:E,MATCH(Dados!E67,Aux!D:D,0)),INDEX(Aux!K:K,MATCH(Dados!B67,Aux!I:I,0)))</f>
        <v>Direita</v>
      </c>
      <c r="G67" s="2">
        <v>287685</v>
      </c>
      <c r="H67" s="2">
        <v>0</v>
      </c>
    </row>
    <row r="68" spans="1:8" x14ac:dyDescent="0.3">
      <c r="A68" t="s">
        <v>919</v>
      </c>
      <c r="B68" t="s">
        <v>875</v>
      </c>
      <c r="C68" t="s">
        <v>876</v>
      </c>
      <c r="D68" t="s">
        <v>58</v>
      </c>
      <c r="E68" t="s">
        <v>59</v>
      </c>
      <c r="F68" t="str">
        <f>IFERROR(INDEX(Aux!E:E,MATCH(Dados!E68,Aux!D:D,0)),INDEX(Aux!K:K,MATCH(Dados!B68,Aux!I:I,0)))</f>
        <v>Centro</v>
      </c>
      <c r="G68" s="2">
        <v>286700</v>
      </c>
      <c r="H68" s="2">
        <v>0</v>
      </c>
    </row>
    <row r="69" spans="1:8" x14ac:dyDescent="0.3">
      <c r="A69" t="s">
        <v>927</v>
      </c>
      <c r="B69" t="s">
        <v>831</v>
      </c>
      <c r="C69" t="s">
        <v>832</v>
      </c>
      <c r="D69" t="s">
        <v>304</v>
      </c>
      <c r="E69" t="s">
        <v>305</v>
      </c>
      <c r="F69" t="str">
        <f>IFERROR(INDEX(Aux!E:E,MATCH(Dados!E69,Aux!D:D,0)),INDEX(Aux!K:K,MATCH(Dados!B69,Aux!I:I,0)))</f>
        <v>Indefinido</v>
      </c>
      <c r="G69" s="2">
        <v>284641</v>
      </c>
      <c r="H69" s="2">
        <v>0</v>
      </c>
    </row>
    <row r="70" spans="1:8" x14ac:dyDescent="0.3">
      <c r="A70" t="s">
        <v>923</v>
      </c>
      <c r="B70" t="s">
        <v>540</v>
      </c>
      <c r="C70" t="s">
        <v>541</v>
      </c>
      <c r="D70" t="s">
        <v>546</v>
      </c>
      <c r="E70" t="s">
        <v>547</v>
      </c>
      <c r="F70" t="str">
        <f>IFERROR(INDEX(Aux!E:E,MATCH(Dados!E70,Aux!D:D,0)),INDEX(Aux!K:K,MATCH(Dados!B70,Aux!I:I,0)))</f>
        <v>Esquerda</v>
      </c>
      <c r="G70" s="2">
        <v>283375</v>
      </c>
      <c r="H70" s="2">
        <v>91058</v>
      </c>
    </row>
    <row r="71" spans="1:8" x14ac:dyDescent="0.3">
      <c r="A71" t="s">
        <v>926</v>
      </c>
      <c r="B71" t="s">
        <v>831</v>
      </c>
      <c r="C71" t="s">
        <v>832</v>
      </c>
      <c r="D71" t="s">
        <v>32</v>
      </c>
      <c r="E71" t="s">
        <v>33</v>
      </c>
      <c r="F71" t="str">
        <f>IFERROR(INDEX(Aux!E:E,MATCH(Dados!E71,Aux!D:D,0)),INDEX(Aux!K:K,MATCH(Dados!B71,Aux!I:I,0)))</f>
        <v>Esquerda</v>
      </c>
      <c r="G71" s="2">
        <v>281931</v>
      </c>
      <c r="H71" s="2">
        <v>0</v>
      </c>
    </row>
    <row r="72" spans="1:8" x14ac:dyDescent="0.3">
      <c r="A72" t="s">
        <v>922</v>
      </c>
      <c r="B72" t="s">
        <v>831</v>
      </c>
      <c r="C72" t="s">
        <v>832</v>
      </c>
      <c r="D72" t="s">
        <v>196</v>
      </c>
      <c r="E72" t="s">
        <v>197</v>
      </c>
      <c r="F72" t="str">
        <f>IFERROR(INDEX(Aux!E:E,MATCH(Dados!E72,Aux!D:D,0)),INDEX(Aux!K:K,MATCH(Dados!B72,Aux!I:I,0)))</f>
        <v>Centro direita</v>
      </c>
      <c r="G72" s="2">
        <v>279147</v>
      </c>
      <c r="H72" s="2">
        <v>0</v>
      </c>
    </row>
    <row r="73" spans="1:8" x14ac:dyDescent="0.3">
      <c r="A73" t="s">
        <v>919</v>
      </c>
      <c r="B73" t="s">
        <v>716</v>
      </c>
      <c r="C73" t="s">
        <v>717</v>
      </c>
      <c r="D73" t="s">
        <v>733</v>
      </c>
      <c r="E73" t="s">
        <v>734</v>
      </c>
      <c r="F73" t="str">
        <f>IFERROR(INDEX(Aux!E:E,MATCH(Dados!E73,Aux!D:D,0)),INDEX(Aux!K:K,MATCH(Dados!B73,Aux!I:I,0)))</f>
        <v>Centro</v>
      </c>
      <c r="G73" s="2">
        <v>277736</v>
      </c>
      <c r="H73" s="2">
        <v>0</v>
      </c>
    </row>
    <row r="74" spans="1:8" x14ac:dyDescent="0.3">
      <c r="A74" t="s">
        <v>921</v>
      </c>
      <c r="B74" t="s">
        <v>756</v>
      </c>
      <c r="C74" t="s">
        <v>757</v>
      </c>
      <c r="D74" t="s">
        <v>336</v>
      </c>
      <c r="E74" t="s">
        <v>337</v>
      </c>
      <c r="F74" t="str">
        <f>IFERROR(INDEX(Aux!E:E,MATCH(Dados!E74,Aux!D:D,0)),INDEX(Aux!K:K,MATCH(Dados!B74,Aux!I:I,0)))</f>
        <v>Centro direita</v>
      </c>
      <c r="G74" s="2">
        <v>272570</v>
      </c>
      <c r="H74" s="2">
        <v>0</v>
      </c>
    </row>
    <row r="75" spans="1:8" x14ac:dyDescent="0.3">
      <c r="A75" t="s">
        <v>916</v>
      </c>
      <c r="B75" t="s">
        <v>282</v>
      </c>
      <c r="C75" t="s">
        <v>283</v>
      </c>
      <c r="D75" t="s">
        <v>324</v>
      </c>
      <c r="E75" t="s">
        <v>325</v>
      </c>
      <c r="F75" t="str">
        <f>IFERROR(INDEX(Aux!E:E,MATCH(Dados!E75,Aux!D:D,0)),INDEX(Aux!K:K,MATCH(Dados!B75,Aux!I:I,0)))</f>
        <v>Direita</v>
      </c>
      <c r="G75" s="2">
        <v>271780</v>
      </c>
      <c r="H75" s="2">
        <v>207102</v>
      </c>
    </row>
    <row r="76" spans="1:8" x14ac:dyDescent="0.3">
      <c r="A76" t="s">
        <v>919</v>
      </c>
      <c r="B76" t="s">
        <v>334</v>
      </c>
      <c r="C76" t="s">
        <v>335</v>
      </c>
      <c r="D76" t="s">
        <v>100</v>
      </c>
      <c r="E76" t="s">
        <v>334</v>
      </c>
      <c r="F76" t="str">
        <f>IFERROR(INDEX(Aux!E:E,MATCH(Dados!E76,Aux!D:D,0)),INDEX(Aux!K:K,MATCH(Dados!B76,Aux!I:I,0)))</f>
        <v>Centro esquerda</v>
      </c>
      <c r="G76" s="2">
        <v>270244</v>
      </c>
      <c r="H76" s="2">
        <v>254622</v>
      </c>
    </row>
    <row r="77" spans="1:8" x14ac:dyDescent="0.3">
      <c r="A77" t="s">
        <v>925</v>
      </c>
      <c r="B77" t="s">
        <v>866</v>
      </c>
      <c r="C77" t="s">
        <v>867</v>
      </c>
      <c r="D77" t="s">
        <v>793</v>
      </c>
      <c r="E77" t="s">
        <v>792</v>
      </c>
      <c r="F77" t="str">
        <f>IFERROR(INDEX(Aux!E:E,MATCH(Dados!E77,Aux!D:D,0)),INDEX(Aux!K:K,MATCH(Dados!B77,Aux!I:I,0)))</f>
        <v>Centro direita</v>
      </c>
      <c r="G77" s="2">
        <v>268796</v>
      </c>
      <c r="H77" s="2">
        <v>0</v>
      </c>
    </row>
    <row r="78" spans="1:8" x14ac:dyDescent="0.3">
      <c r="A78" t="s">
        <v>920</v>
      </c>
      <c r="B78" t="s">
        <v>282</v>
      </c>
      <c r="C78" t="s">
        <v>283</v>
      </c>
      <c r="D78" t="s">
        <v>100</v>
      </c>
      <c r="E78" t="s">
        <v>282</v>
      </c>
      <c r="F78" t="str">
        <f>IFERROR(INDEX(Aux!E:E,MATCH(Dados!E78,Aux!D:D,0)),INDEX(Aux!K:K,MATCH(Dados!B78,Aux!I:I,0)))</f>
        <v>Direita</v>
      </c>
      <c r="G78" s="2">
        <v>264799</v>
      </c>
      <c r="H78" s="2">
        <v>66704</v>
      </c>
    </row>
    <row r="79" spans="1:8" x14ac:dyDescent="0.3">
      <c r="A79" t="s">
        <v>916</v>
      </c>
      <c r="B79" t="s">
        <v>893</v>
      </c>
      <c r="C79" t="s">
        <v>894</v>
      </c>
      <c r="D79" t="s">
        <v>76</v>
      </c>
      <c r="E79" t="s">
        <v>77</v>
      </c>
      <c r="F79" t="str">
        <f>IFERROR(INDEX(Aux!E:E,MATCH(Dados!E79,Aux!D:D,0)),INDEX(Aux!K:K,MATCH(Dados!B79,Aux!I:I,0)))</f>
        <v>Indefinido</v>
      </c>
      <c r="G79" s="2">
        <v>264043</v>
      </c>
      <c r="H79" s="2">
        <v>0</v>
      </c>
    </row>
    <row r="80" spans="1:8" x14ac:dyDescent="0.3">
      <c r="A80" t="s">
        <v>917</v>
      </c>
      <c r="B80" t="s">
        <v>716</v>
      </c>
      <c r="C80" t="s">
        <v>717</v>
      </c>
      <c r="D80" t="s">
        <v>375</v>
      </c>
      <c r="E80" t="s">
        <v>376</v>
      </c>
      <c r="F80" t="str">
        <f>IFERROR(INDEX(Aux!E:E,MATCH(Dados!E80,Aux!D:D,0)),INDEX(Aux!K:K,MATCH(Dados!B80,Aux!I:I,0)))</f>
        <v>Indefinido</v>
      </c>
      <c r="G80" s="2">
        <v>252696</v>
      </c>
      <c r="H80" s="2">
        <v>0</v>
      </c>
    </row>
    <row r="81" spans="1:8" x14ac:dyDescent="0.3">
      <c r="A81" t="s">
        <v>920</v>
      </c>
      <c r="B81" t="s">
        <v>756</v>
      </c>
      <c r="C81" t="s">
        <v>757</v>
      </c>
      <c r="D81" t="s">
        <v>6</v>
      </c>
      <c r="E81" t="s">
        <v>7</v>
      </c>
      <c r="F81" t="str">
        <f>IFERROR(INDEX(Aux!E:E,MATCH(Dados!E81,Aux!D:D,0)),INDEX(Aux!K:K,MATCH(Dados!B81,Aux!I:I,0)))</f>
        <v>Centro esquerda</v>
      </c>
      <c r="G81" s="2">
        <v>250431</v>
      </c>
      <c r="H81" s="2">
        <v>792517</v>
      </c>
    </row>
    <row r="82" spans="1:8" x14ac:dyDescent="0.3">
      <c r="A82" t="s">
        <v>917</v>
      </c>
      <c r="B82" t="s">
        <v>488</v>
      </c>
      <c r="C82" t="s">
        <v>489</v>
      </c>
      <c r="D82" t="s">
        <v>249</v>
      </c>
      <c r="E82" t="s">
        <v>250</v>
      </c>
      <c r="F82" t="str">
        <f>IFERROR(INDEX(Aux!E:E,MATCH(Dados!E82,Aux!D:D,0)),INDEX(Aux!K:K,MATCH(Dados!B82,Aux!I:I,0)))</f>
        <v>Esquerda</v>
      </c>
      <c r="G82" s="2">
        <v>250112</v>
      </c>
      <c r="H82" s="2">
        <v>0</v>
      </c>
    </row>
    <row r="83" spans="1:8" x14ac:dyDescent="0.3">
      <c r="A83" t="s">
        <v>915</v>
      </c>
      <c r="B83" t="s">
        <v>4</v>
      </c>
      <c r="C83" t="s">
        <v>5</v>
      </c>
      <c r="D83" t="s">
        <v>100</v>
      </c>
      <c r="E83" t="s">
        <v>4</v>
      </c>
      <c r="F83" t="str">
        <f>IFERROR(INDEX(Aux!E:E,MATCH(Dados!E83,Aux!D:D,0)),INDEX(Aux!K:K,MATCH(Dados!B83,Aux!I:I,0)))</f>
        <v>Esquerda</v>
      </c>
      <c r="G83" s="2">
        <v>249420</v>
      </c>
      <c r="H83" s="2">
        <v>219210</v>
      </c>
    </row>
    <row r="84" spans="1:8" x14ac:dyDescent="0.3">
      <c r="A84" t="s">
        <v>928</v>
      </c>
      <c r="B84" t="s">
        <v>488</v>
      </c>
      <c r="C84" t="s">
        <v>489</v>
      </c>
      <c r="D84" t="s">
        <v>383</v>
      </c>
      <c r="E84" t="s">
        <v>384</v>
      </c>
      <c r="F84" t="str">
        <f>IFERROR(INDEX(Aux!E:E,MATCH(Dados!E84,Aux!D:D,0)),INDEX(Aux!K:K,MATCH(Dados!B84,Aux!I:I,0)))</f>
        <v>Centro</v>
      </c>
      <c r="G84" s="2">
        <v>247081</v>
      </c>
      <c r="H84" s="2">
        <v>0</v>
      </c>
    </row>
    <row r="85" spans="1:8" x14ac:dyDescent="0.3">
      <c r="A85" t="s">
        <v>925</v>
      </c>
      <c r="B85" t="s">
        <v>871</v>
      </c>
      <c r="C85" t="s">
        <v>872</v>
      </c>
      <c r="D85" t="s">
        <v>28</v>
      </c>
      <c r="E85" t="s">
        <v>29</v>
      </c>
      <c r="F85" t="str">
        <f>IFERROR(INDEX(Aux!E:E,MATCH(Dados!E85,Aux!D:D,0)),INDEX(Aux!K:K,MATCH(Dados!B85,Aux!I:I,0)))</f>
        <v>Centro</v>
      </c>
      <c r="G85" s="2">
        <v>247031</v>
      </c>
      <c r="H85" s="2">
        <v>0</v>
      </c>
    </row>
    <row r="86" spans="1:8" x14ac:dyDescent="0.3">
      <c r="A86" t="s">
        <v>929</v>
      </c>
      <c r="B86" t="s">
        <v>799</v>
      </c>
      <c r="C86" t="s">
        <v>800</v>
      </c>
      <c r="D86" t="s">
        <v>797</v>
      </c>
      <c r="E86" t="s">
        <v>798</v>
      </c>
      <c r="F86" t="str">
        <f>IFERROR(INDEX(Aux!E:E,MATCH(Dados!E86,Aux!D:D,0)),INDEX(Aux!K:K,MATCH(Dados!B86,Aux!I:I,0)))</f>
        <v>Esquerda</v>
      </c>
      <c r="G86" s="2">
        <v>246756</v>
      </c>
      <c r="H86" s="2">
        <v>105710</v>
      </c>
    </row>
    <row r="87" spans="1:8" x14ac:dyDescent="0.3">
      <c r="A87" t="s">
        <v>926</v>
      </c>
      <c r="B87" t="s">
        <v>756</v>
      </c>
      <c r="C87" t="s">
        <v>757</v>
      </c>
      <c r="D87" t="s">
        <v>735</v>
      </c>
      <c r="E87" t="s">
        <v>736</v>
      </c>
      <c r="F87" t="str">
        <f>IFERROR(INDEX(Aux!E:E,MATCH(Dados!E87,Aux!D:D,0)),INDEX(Aux!K:K,MATCH(Dados!B87,Aux!I:I,0)))</f>
        <v>Centro</v>
      </c>
      <c r="G87" s="2">
        <v>245390</v>
      </c>
      <c r="H87" s="2">
        <v>0</v>
      </c>
    </row>
    <row r="88" spans="1:8" x14ac:dyDescent="0.3">
      <c r="A88" t="s">
        <v>917</v>
      </c>
      <c r="B88" t="s">
        <v>787</v>
      </c>
      <c r="C88" t="s">
        <v>788</v>
      </c>
      <c r="D88" t="s">
        <v>591</v>
      </c>
      <c r="E88" t="s">
        <v>592</v>
      </c>
      <c r="F88" t="str">
        <f>IFERROR(INDEX(Aux!E:E,MATCH(Dados!E88,Aux!D:D,0)),INDEX(Aux!K:K,MATCH(Dados!B88,Aux!I:I,0)))</f>
        <v>Centro direita</v>
      </c>
      <c r="G88" s="2">
        <v>243347</v>
      </c>
      <c r="H88" s="2">
        <v>42650</v>
      </c>
    </row>
    <row r="89" spans="1:8" x14ac:dyDescent="0.3">
      <c r="A89" t="s">
        <v>923</v>
      </c>
      <c r="B89" t="s">
        <v>893</v>
      </c>
      <c r="C89" t="s">
        <v>894</v>
      </c>
      <c r="D89" t="s">
        <v>34</v>
      </c>
      <c r="E89" t="s">
        <v>35</v>
      </c>
      <c r="F89" t="str">
        <f>IFERROR(INDEX(Aux!E:E,MATCH(Dados!E89,Aux!D:D,0)),INDEX(Aux!K:K,MATCH(Dados!B89,Aux!I:I,0)))</f>
        <v>Indefinido</v>
      </c>
      <c r="G89" s="2">
        <v>242395</v>
      </c>
      <c r="H89" s="2">
        <v>0</v>
      </c>
    </row>
    <row r="90" spans="1:8" x14ac:dyDescent="0.3">
      <c r="A90" t="s">
        <v>924</v>
      </c>
      <c r="B90" t="s">
        <v>756</v>
      </c>
      <c r="C90" t="s">
        <v>757</v>
      </c>
      <c r="D90" t="s">
        <v>450</v>
      </c>
      <c r="E90" t="s">
        <v>451</v>
      </c>
      <c r="F90" t="str">
        <f>IFERROR(INDEX(Aux!E:E,MATCH(Dados!E90,Aux!D:D,0)),INDEX(Aux!K:K,MATCH(Dados!B90,Aux!I:I,0)))</f>
        <v>Centro</v>
      </c>
      <c r="G90" s="2">
        <v>241871</v>
      </c>
      <c r="H90" s="2">
        <v>0</v>
      </c>
    </row>
    <row r="91" spans="1:8" x14ac:dyDescent="0.3">
      <c r="A91" t="s">
        <v>916</v>
      </c>
      <c r="B91" t="s">
        <v>817</v>
      </c>
      <c r="C91" t="s">
        <v>818</v>
      </c>
      <c r="D91" t="s">
        <v>365</v>
      </c>
      <c r="E91" t="s">
        <v>366</v>
      </c>
      <c r="F91" t="str">
        <f>IFERROR(INDEX(Aux!E:E,MATCH(Dados!E91,Aux!D:D,0)),INDEX(Aux!K:K,MATCH(Dados!B91,Aux!I:I,0)))</f>
        <v>Centro</v>
      </c>
      <c r="G91" s="2">
        <v>241518</v>
      </c>
      <c r="H91" s="2">
        <v>0</v>
      </c>
    </row>
    <row r="92" spans="1:8" x14ac:dyDescent="0.3">
      <c r="A92" t="s">
        <v>917</v>
      </c>
      <c r="B92" t="s">
        <v>871</v>
      </c>
      <c r="C92" t="s">
        <v>872</v>
      </c>
      <c r="D92" t="s">
        <v>249</v>
      </c>
      <c r="E92" t="s">
        <v>250</v>
      </c>
      <c r="F92" t="str">
        <f>IFERROR(INDEX(Aux!E:E,MATCH(Dados!E92,Aux!D:D,0)),INDEX(Aux!K:K,MATCH(Dados!B92,Aux!I:I,0)))</f>
        <v>Esquerda</v>
      </c>
      <c r="G92" s="2">
        <v>240808</v>
      </c>
      <c r="H92" s="2">
        <v>0</v>
      </c>
    </row>
    <row r="93" spans="1:8" x14ac:dyDescent="0.3">
      <c r="A93" t="s">
        <v>930</v>
      </c>
      <c r="B93" t="s">
        <v>831</v>
      </c>
      <c r="C93" t="s">
        <v>832</v>
      </c>
      <c r="D93" t="s">
        <v>20</v>
      </c>
      <c r="E93" t="s">
        <v>21</v>
      </c>
      <c r="F93" t="str">
        <f>IFERROR(INDEX(Aux!E:E,MATCH(Dados!E93,Aux!D:D,0)),INDEX(Aux!K:K,MATCH(Dados!B93,Aux!I:I,0)))</f>
        <v>Centro direita</v>
      </c>
      <c r="G93" s="2">
        <v>239696</v>
      </c>
      <c r="H93" s="2">
        <v>0</v>
      </c>
    </row>
    <row r="94" spans="1:8" x14ac:dyDescent="0.3">
      <c r="A94" t="s">
        <v>928</v>
      </c>
      <c r="B94" t="s">
        <v>716</v>
      </c>
      <c r="C94" t="s">
        <v>717</v>
      </c>
      <c r="D94" t="s">
        <v>595</v>
      </c>
      <c r="E94" t="s">
        <v>596</v>
      </c>
      <c r="F94" t="str">
        <f>IFERROR(INDEX(Aux!E:E,MATCH(Dados!E94,Aux!D:D,0)),INDEX(Aux!K:K,MATCH(Dados!B94,Aux!I:I,0)))</f>
        <v>Centro direita</v>
      </c>
      <c r="G94" s="2">
        <v>234417</v>
      </c>
      <c r="H94" s="2">
        <v>135239</v>
      </c>
    </row>
    <row r="95" spans="1:8" x14ac:dyDescent="0.3">
      <c r="A95" t="s">
        <v>916</v>
      </c>
      <c r="B95" t="s">
        <v>540</v>
      </c>
      <c r="C95" t="s">
        <v>541</v>
      </c>
      <c r="D95" t="s">
        <v>554</v>
      </c>
      <c r="E95" t="s">
        <v>543</v>
      </c>
      <c r="F95" t="str">
        <f>IFERROR(INDEX(Aux!E:E,MATCH(Dados!E95,Aux!D:D,0)),INDEX(Aux!K:K,MATCH(Dados!B95,Aux!I:I,0)))</f>
        <v>Esquerda</v>
      </c>
      <c r="G95" s="2">
        <v>233512</v>
      </c>
      <c r="H95" s="2">
        <v>110592</v>
      </c>
    </row>
    <row r="96" spans="1:8" x14ac:dyDescent="0.3">
      <c r="A96" t="s">
        <v>918</v>
      </c>
      <c r="B96" t="s">
        <v>831</v>
      </c>
      <c r="C96" t="s">
        <v>832</v>
      </c>
      <c r="D96" t="s">
        <v>100</v>
      </c>
      <c r="E96" t="s">
        <v>831</v>
      </c>
      <c r="F96" t="str">
        <f>IFERROR(INDEX(Aux!E:E,MATCH(Dados!E96,Aux!D:D,0)),INDEX(Aux!K:K,MATCH(Dados!B96,Aux!I:I,0)))</f>
        <v>Centro esquerda</v>
      </c>
      <c r="G96" s="2">
        <v>232053</v>
      </c>
      <c r="H96" s="2">
        <v>177084</v>
      </c>
    </row>
    <row r="97" spans="1:8" x14ac:dyDescent="0.3">
      <c r="A97" t="s">
        <v>917</v>
      </c>
      <c r="B97" t="s">
        <v>857</v>
      </c>
      <c r="C97" t="s">
        <v>858</v>
      </c>
      <c r="D97" t="s">
        <v>249</v>
      </c>
      <c r="E97" t="s">
        <v>250</v>
      </c>
      <c r="F97" t="str">
        <f>IFERROR(INDEX(Aux!E:E,MATCH(Dados!E97,Aux!D:D,0)),INDEX(Aux!K:K,MATCH(Dados!B97,Aux!I:I,0)))</f>
        <v>Esquerda</v>
      </c>
      <c r="G97" s="2">
        <v>231716</v>
      </c>
      <c r="H97" s="2">
        <v>0</v>
      </c>
    </row>
    <row r="98" spans="1:8" x14ac:dyDescent="0.3">
      <c r="A98" t="s">
        <v>931</v>
      </c>
      <c r="B98" t="s">
        <v>716</v>
      </c>
      <c r="C98" t="s">
        <v>717</v>
      </c>
      <c r="D98" t="s">
        <v>400</v>
      </c>
      <c r="E98" t="s">
        <v>401</v>
      </c>
      <c r="F98" t="str">
        <f>IFERROR(INDEX(Aux!E:E,MATCH(Dados!E98,Aux!D:D,0)),INDEX(Aux!K:K,MATCH(Dados!B98,Aux!I:I,0)))</f>
        <v>Indefinido</v>
      </c>
      <c r="G98" s="2">
        <v>224349</v>
      </c>
      <c r="H98" s="2">
        <v>0</v>
      </c>
    </row>
    <row r="99" spans="1:8" x14ac:dyDescent="0.3">
      <c r="A99" t="s">
        <v>916</v>
      </c>
      <c r="B99" t="s">
        <v>206</v>
      </c>
      <c r="C99" t="s">
        <v>207</v>
      </c>
      <c r="D99" t="s">
        <v>100</v>
      </c>
      <c r="E99" t="s">
        <v>206</v>
      </c>
      <c r="F99" t="str">
        <f>IFERROR(INDEX(Aux!E:E,MATCH(Dados!E99,Aux!D:D,0)),INDEX(Aux!K:K,MATCH(Dados!B99,Aux!I:I,0)))</f>
        <v>Centro direita</v>
      </c>
      <c r="G99" s="2">
        <v>224067</v>
      </c>
      <c r="H99" s="2">
        <v>0</v>
      </c>
    </row>
    <row r="100" spans="1:8" x14ac:dyDescent="0.3">
      <c r="A100" t="s">
        <v>915</v>
      </c>
      <c r="B100" t="s">
        <v>282</v>
      </c>
      <c r="C100" t="s">
        <v>283</v>
      </c>
      <c r="D100" t="s">
        <v>100</v>
      </c>
      <c r="E100" t="s">
        <v>282</v>
      </c>
      <c r="F100" t="str">
        <f>IFERROR(INDEX(Aux!E:E,MATCH(Dados!E100,Aux!D:D,0)),INDEX(Aux!K:K,MATCH(Dados!B100,Aux!I:I,0)))</f>
        <v>Direita</v>
      </c>
      <c r="G100" s="2">
        <v>221647</v>
      </c>
      <c r="H100" s="2">
        <v>297267</v>
      </c>
    </row>
    <row r="101" spans="1:8" x14ac:dyDescent="0.3">
      <c r="A101" t="s">
        <v>922</v>
      </c>
      <c r="B101" t="s">
        <v>893</v>
      </c>
      <c r="C101" t="s">
        <v>894</v>
      </c>
      <c r="D101" t="s">
        <v>589</v>
      </c>
      <c r="E101" t="s">
        <v>590</v>
      </c>
      <c r="F101" t="str">
        <f>IFERROR(INDEX(Aux!E:E,MATCH(Dados!E101,Aux!D:D,0)),INDEX(Aux!K:K,MATCH(Dados!B101,Aux!I:I,0)))</f>
        <v>Indefinido</v>
      </c>
      <c r="G101" s="2">
        <v>218525</v>
      </c>
      <c r="H101" s="2">
        <v>0</v>
      </c>
    </row>
    <row r="102" spans="1:8" x14ac:dyDescent="0.3">
      <c r="A102" t="s">
        <v>921</v>
      </c>
      <c r="B102" t="s">
        <v>599</v>
      </c>
      <c r="C102" t="s">
        <v>600</v>
      </c>
      <c r="D102" t="s">
        <v>336</v>
      </c>
      <c r="E102" t="s">
        <v>337</v>
      </c>
      <c r="F102" t="str">
        <f>IFERROR(INDEX(Aux!E:E,MATCH(Dados!E102,Aux!D:D,0)),INDEX(Aux!K:K,MATCH(Dados!B102,Aux!I:I,0)))</f>
        <v>Centro direita</v>
      </c>
      <c r="G102" s="2">
        <v>214022</v>
      </c>
      <c r="H102" s="2">
        <v>0</v>
      </c>
    </row>
    <row r="103" spans="1:8" x14ac:dyDescent="0.3">
      <c r="A103" t="s">
        <v>931</v>
      </c>
      <c r="B103" t="s">
        <v>799</v>
      </c>
      <c r="C103" t="s">
        <v>800</v>
      </c>
      <c r="D103" t="s">
        <v>805</v>
      </c>
      <c r="E103" t="s">
        <v>806</v>
      </c>
      <c r="F103" t="str">
        <f>IFERROR(INDEX(Aux!E:E,MATCH(Dados!E103,Aux!D:D,0)),INDEX(Aux!K:K,MATCH(Dados!B103,Aux!I:I,0)))</f>
        <v>Esquerda</v>
      </c>
      <c r="G103" s="2">
        <v>213034</v>
      </c>
      <c r="H103" s="2">
        <v>61153</v>
      </c>
    </row>
    <row r="104" spans="1:8" x14ac:dyDescent="0.3">
      <c r="A104" t="s">
        <v>925</v>
      </c>
      <c r="B104" t="s">
        <v>875</v>
      </c>
      <c r="C104" t="s">
        <v>876</v>
      </c>
      <c r="D104" t="s">
        <v>342</v>
      </c>
      <c r="E104" t="s">
        <v>341</v>
      </c>
      <c r="F104" t="str">
        <f>IFERROR(INDEX(Aux!E:E,MATCH(Dados!E104,Aux!D:D,0)),INDEX(Aux!K:K,MATCH(Dados!B104,Aux!I:I,0)))</f>
        <v>Centro</v>
      </c>
      <c r="G104" s="2">
        <v>210296</v>
      </c>
      <c r="H104" s="2">
        <v>0</v>
      </c>
    </row>
    <row r="105" spans="1:8" x14ac:dyDescent="0.3">
      <c r="A105" t="s">
        <v>918</v>
      </c>
      <c r="B105" t="s">
        <v>334</v>
      </c>
      <c r="C105" t="s">
        <v>335</v>
      </c>
      <c r="D105" t="s">
        <v>361</v>
      </c>
      <c r="E105" t="s">
        <v>362</v>
      </c>
      <c r="F105" t="str">
        <f>IFERROR(INDEX(Aux!E:E,MATCH(Dados!E105,Aux!D:D,0)),INDEX(Aux!K:K,MATCH(Dados!B105,Aux!I:I,0)))</f>
        <v>Esquerda</v>
      </c>
      <c r="G105" s="2">
        <v>208973</v>
      </c>
      <c r="H105" s="2">
        <v>0</v>
      </c>
    </row>
    <row r="106" spans="1:8" x14ac:dyDescent="0.3">
      <c r="A106" t="s">
        <v>930</v>
      </c>
      <c r="B106" t="s">
        <v>756</v>
      </c>
      <c r="C106" t="s">
        <v>757</v>
      </c>
      <c r="D106" t="s">
        <v>392</v>
      </c>
      <c r="E106" t="s">
        <v>393</v>
      </c>
      <c r="F106" t="str">
        <f>IFERROR(INDEX(Aux!E:E,MATCH(Dados!E106,Aux!D:D,0)),INDEX(Aux!K:K,MATCH(Dados!B106,Aux!I:I,0)))</f>
        <v>Centro direita</v>
      </c>
      <c r="G106" s="2">
        <v>204255</v>
      </c>
      <c r="H106" s="2">
        <v>0</v>
      </c>
    </row>
    <row r="107" spans="1:8" x14ac:dyDescent="0.3">
      <c r="A107" t="s">
        <v>915</v>
      </c>
      <c r="B107" t="s">
        <v>690</v>
      </c>
      <c r="C107" t="s">
        <v>691</v>
      </c>
      <c r="D107" t="s">
        <v>100</v>
      </c>
      <c r="E107" t="s">
        <v>690</v>
      </c>
      <c r="F107" t="str">
        <f>IFERROR(INDEX(Aux!E:E,MATCH(Dados!E107,Aux!D:D,0)),INDEX(Aux!K:K,MATCH(Dados!B107,Aux!I:I,0)))</f>
        <v>Centro</v>
      </c>
      <c r="G107" s="2">
        <v>200774</v>
      </c>
      <c r="H107" s="2">
        <v>300867</v>
      </c>
    </row>
    <row r="108" spans="1:8" x14ac:dyDescent="0.3">
      <c r="A108" t="s">
        <v>916</v>
      </c>
      <c r="B108" t="s">
        <v>641</v>
      </c>
      <c r="C108" t="s">
        <v>642</v>
      </c>
      <c r="D108" t="s">
        <v>466</v>
      </c>
      <c r="E108" t="s">
        <v>467</v>
      </c>
      <c r="F108" t="str">
        <f>IFERROR(INDEX(Aux!E:E,MATCH(Dados!E108,Aux!D:D,0)),INDEX(Aux!K:K,MATCH(Dados!B108,Aux!I:I,0)))</f>
        <v>Centro esquerda</v>
      </c>
      <c r="G108" s="2">
        <v>196437</v>
      </c>
      <c r="H108" s="2">
        <v>0</v>
      </c>
    </row>
    <row r="109" spans="1:8" x14ac:dyDescent="0.3">
      <c r="A109" t="s">
        <v>917</v>
      </c>
      <c r="B109" t="s">
        <v>831</v>
      </c>
      <c r="C109" t="s">
        <v>832</v>
      </c>
      <c r="D109" t="s">
        <v>100</v>
      </c>
      <c r="E109" t="s">
        <v>831</v>
      </c>
      <c r="F109" t="str">
        <f>IFERROR(INDEX(Aux!E:E,MATCH(Dados!E109,Aux!D:D,0)),INDEX(Aux!K:K,MATCH(Dados!B109,Aux!I:I,0)))</f>
        <v>Centro esquerda</v>
      </c>
      <c r="G109" s="2">
        <v>195207</v>
      </c>
      <c r="H109" s="2">
        <v>0</v>
      </c>
    </row>
    <row r="110" spans="1:8" x14ac:dyDescent="0.3">
      <c r="A110" t="s">
        <v>932</v>
      </c>
      <c r="B110" t="s">
        <v>558</v>
      </c>
      <c r="C110" t="s">
        <v>559</v>
      </c>
      <c r="D110" t="s">
        <v>332</v>
      </c>
      <c r="E110" t="s">
        <v>333</v>
      </c>
      <c r="F110" t="str">
        <f>IFERROR(INDEX(Aux!E:E,MATCH(Dados!E110,Aux!D:D,0)),INDEX(Aux!K:K,MATCH(Dados!B110,Aux!I:I,0)))</f>
        <v>Direita</v>
      </c>
      <c r="G110" s="2">
        <v>193487</v>
      </c>
      <c r="H110" s="2">
        <v>0</v>
      </c>
    </row>
    <row r="111" spans="1:8" x14ac:dyDescent="0.3">
      <c r="A111" t="s">
        <v>919</v>
      </c>
      <c r="B111" t="s">
        <v>831</v>
      </c>
      <c r="C111" t="s">
        <v>832</v>
      </c>
      <c r="D111" t="s">
        <v>463</v>
      </c>
      <c r="E111" t="s">
        <v>460</v>
      </c>
      <c r="F111" t="str">
        <f>IFERROR(INDEX(Aux!E:E,MATCH(Dados!E111,Aux!D:D,0)),INDEX(Aux!K:K,MATCH(Dados!B111,Aux!I:I,0)))</f>
        <v>Indefinido</v>
      </c>
      <c r="G111" s="2">
        <v>193315</v>
      </c>
      <c r="H111" s="2">
        <v>0</v>
      </c>
    </row>
    <row r="112" spans="1:8" x14ac:dyDescent="0.3">
      <c r="A112" t="s">
        <v>922</v>
      </c>
      <c r="B112" t="s">
        <v>857</v>
      </c>
      <c r="C112" t="s">
        <v>858</v>
      </c>
      <c r="D112" t="s">
        <v>314</v>
      </c>
      <c r="E112" t="s">
        <v>315</v>
      </c>
      <c r="F112" t="str">
        <f>IFERROR(INDEX(Aux!E:E,MATCH(Dados!E112,Aux!D:D,0)),INDEX(Aux!K:K,MATCH(Dados!B112,Aux!I:I,0)))</f>
        <v>Direita</v>
      </c>
      <c r="G112" s="2">
        <v>189083</v>
      </c>
      <c r="H112" s="2">
        <v>0</v>
      </c>
    </row>
    <row r="113" spans="1:8" x14ac:dyDescent="0.3">
      <c r="A113" t="s">
        <v>920</v>
      </c>
      <c r="B113" t="s">
        <v>641</v>
      </c>
      <c r="C113" t="s">
        <v>642</v>
      </c>
      <c r="D113" t="s">
        <v>208</v>
      </c>
      <c r="E113" t="s">
        <v>209</v>
      </c>
      <c r="F113" t="str">
        <f>IFERROR(INDEX(Aux!E:E,MATCH(Dados!E113,Aux!D:D,0)),INDEX(Aux!K:K,MATCH(Dados!B113,Aux!I:I,0)))</f>
        <v>Indefinido</v>
      </c>
      <c r="G113" s="2">
        <v>189039</v>
      </c>
      <c r="H113" s="2">
        <v>0</v>
      </c>
    </row>
    <row r="114" spans="1:8" x14ac:dyDescent="0.3">
      <c r="A114" t="s">
        <v>915</v>
      </c>
      <c r="B114" t="s">
        <v>440</v>
      </c>
      <c r="C114" t="s">
        <v>441</v>
      </c>
      <c r="D114" t="s">
        <v>472</v>
      </c>
      <c r="E114" t="s">
        <v>473</v>
      </c>
      <c r="F114" t="str">
        <f>IFERROR(INDEX(Aux!E:E,MATCH(Dados!E114,Aux!D:D,0)),INDEX(Aux!K:K,MATCH(Dados!B114,Aux!I:I,0)))</f>
        <v>Esquerda</v>
      </c>
      <c r="G114" s="2">
        <v>188201</v>
      </c>
      <c r="H114" s="2">
        <v>0</v>
      </c>
    </row>
    <row r="115" spans="1:8" x14ac:dyDescent="0.3">
      <c r="A115" t="s">
        <v>919</v>
      </c>
      <c r="B115" t="s">
        <v>817</v>
      </c>
      <c r="C115" t="s">
        <v>818</v>
      </c>
      <c r="D115" t="s">
        <v>58</v>
      </c>
      <c r="E115" t="s">
        <v>59</v>
      </c>
      <c r="F115" t="str">
        <f>IFERROR(INDEX(Aux!E:E,MATCH(Dados!E115,Aux!D:D,0)),INDEX(Aux!K:K,MATCH(Dados!B115,Aux!I:I,0)))</f>
        <v>Centro</v>
      </c>
      <c r="G115" s="2">
        <v>186573</v>
      </c>
      <c r="H115" s="2">
        <v>0</v>
      </c>
    </row>
    <row r="116" spans="1:8" x14ac:dyDescent="0.3">
      <c r="A116" t="s">
        <v>919</v>
      </c>
      <c r="B116" t="s">
        <v>641</v>
      </c>
      <c r="C116" t="s">
        <v>642</v>
      </c>
      <c r="D116" t="s">
        <v>270</v>
      </c>
      <c r="E116" t="s">
        <v>271</v>
      </c>
      <c r="F116" t="str">
        <f>IFERROR(INDEX(Aux!E:E,MATCH(Dados!E116,Aux!D:D,0)),INDEX(Aux!K:K,MATCH(Dados!B116,Aux!I:I,0)))</f>
        <v>Centro direita</v>
      </c>
      <c r="G116" s="2">
        <v>185741</v>
      </c>
      <c r="H116" s="2">
        <v>0</v>
      </c>
    </row>
    <row r="117" spans="1:8" x14ac:dyDescent="0.3">
      <c r="A117" t="s">
        <v>920</v>
      </c>
      <c r="B117" t="s">
        <v>558</v>
      </c>
      <c r="C117" t="s">
        <v>559</v>
      </c>
      <c r="D117" t="s">
        <v>363</v>
      </c>
      <c r="E117" t="s">
        <v>364</v>
      </c>
      <c r="F117" t="str">
        <f>IFERROR(INDEX(Aux!E:E,MATCH(Dados!E117,Aux!D:D,0)),INDEX(Aux!K:K,MATCH(Dados!B117,Aux!I:I,0)))</f>
        <v>Centro direita</v>
      </c>
      <c r="G117" s="2">
        <v>185672</v>
      </c>
      <c r="H117" s="2">
        <v>89682</v>
      </c>
    </row>
    <row r="118" spans="1:8" x14ac:dyDescent="0.3">
      <c r="A118" t="s">
        <v>918</v>
      </c>
      <c r="B118" t="s">
        <v>488</v>
      </c>
      <c r="C118" t="s">
        <v>489</v>
      </c>
      <c r="D118" t="s">
        <v>468</v>
      </c>
      <c r="E118" t="s">
        <v>469</v>
      </c>
      <c r="F118" t="str">
        <f>IFERROR(INDEX(Aux!E:E,MATCH(Dados!E118,Aux!D:D,0)),INDEX(Aux!K:K,MATCH(Dados!B118,Aux!I:I,0)))</f>
        <v>Indefinido</v>
      </c>
      <c r="G118" s="2">
        <v>184665</v>
      </c>
      <c r="H118" s="2">
        <v>0</v>
      </c>
    </row>
    <row r="119" spans="1:8" x14ac:dyDescent="0.3">
      <c r="A119" t="s">
        <v>921</v>
      </c>
      <c r="B119" t="s">
        <v>716</v>
      </c>
      <c r="C119" t="s">
        <v>717</v>
      </c>
      <c r="D119" t="s">
        <v>68</v>
      </c>
      <c r="E119" t="s">
        <v>69</v>
      </c>
      <c r="F119" t="str">
        <f>IFERROR(INDEX(Aux!E:E,MATCH(Dados!E119,Aux!D:D,0)),INDEX(Aux!K:K,MATCH(Dados!B119,Aux!I:I,0)))</f>
        <v>Indefinido</v>
      </c>
      <c r="G119" s="2">
        <v>184424</v>
      </c>
      <c r="H119" s="2">
        <v>0</v>
      </c>
    </row>
    <row r="120" spans="1:8" x14ac:dyDescent="0.3">
      <c r="A120" t="s">
        <v>931</v>
      </c>
      <c r="B120" t="s">
        <v>599</v>
      </c>
      <c r="C120" t="s">
        <v>600</v>
      </c>
      <c r="D120" t="s">
        <v>400</v>
      </c>
      <c r="E120" t="s">
        <v>401</v>
      </c>
      <c r="F120" t="str">
        <f>IFERROR(INDEX(Aux!E:E,MATCH(Dados!E120,Aux!D:D,0)),INDEX(Aux!K:K,MATCH(Dados!B120,Aux!I:I,0)))</f>
        <v>Indefinido</v>
      </c>
      <c r="G120" s="2">
        <v>183347</v>
      </c>
      <c r="H120" s="2">
        <v>0</v>
      </c>
    </row>
    <row r="121" spans="1:8" x14ac:dyDescent="0.3">
      <c r="A121" t="s">
        <v>925</v>
      </c>
      <c r="B121" t="s">
        <v>817</v>
      </c>
      <c r="C121" t="s">
        <v>818</v>
      </c>
      <c r="D121" t="s">
        <v>298</v>
      </c>
      <c r="E121" t="s">
        <v>299</v>
      </c>
      <c r="F121" t="str">
        <f>IFERROR(INDEX(Aux!E:E,MATCH(Dados!E121,Aux!D:D,0)),INDEX(Aux!K:K,MATCH(Dados!B121,Aux!I:I,0)))</f>
        <v>Direita</v>
      </c>
      <c r="G121" s="2">
        <v>179955</v>
      </c>
      <c r="H121" s="2">
        <v>0</v>
      </c>
    </row>
    <row r="122" spans="1:8" x14ac:dyDescent="0.3">
      <c r="A122" t="s">
        <v>933</v>
      </c>
      <c r="B122" t="s">
        <v>488</v>
      </c>
      <c r="C122" t="s">
        <v>489</v>
      </c>
      <c r="D122" t="s">
        <v>398</v>
      </c>
      <c r="E122" t="s">
        <v>399</v>
      </c>
      <c r="F122" t="str">
        <f>IFERROR(INDEX(Aux!E:E,MATCH(Dados!E122,Aux!D:D,0)),INDEX(Aux!K:K,MATCH(Dados!B122,Aux!I:I,0)))</f>
        <v>Indefinido</v>
      </c>
      <c r="G122" s="2">
        <v>179803</v>
      </c>
      <c r="H122" s="2">
        <v>0</v>
      </c>
    </row>
    <row r="123" spans="1:8" x14ac:dyDescent="0.3">
      <c r="A123" t="s">
        <v>921</v>
      </c>
      <c r="B123" t="s">
        <v>785</v>
      </c>
      <c r="C123" t="s">
        <v>786</v>
      </c>
      <c r="D123" t="s">
        <v>100</v>
      </c>
      <c r="E123" t="s">
        <v>785</v>
      </c>
      <c r="F123" t="str">
        <f>IFERROR(INDEX(Aux!E:E,MATCH(Dados!E123,Aux!D:D,0)),INDEX(Aux!K:K,MATCH(Dados!B123,Aux!I:I,0)))</f>
        <v>Centro direita</v>
      </c>
      <c r="G123" s="2">
        <v>179438</v>
      </c>
      <c r="H123" s="2">
        <v>0</v>
      </c>
    </row>
    <row r="124" spans="1:8" x14ac:dyDescent="0.3">
      <c r="A124" t="s">
        <v>922</v>
      </c>
      <c r="B124" t="s">
        <v>540</v>
      </c>
      <c r="C124" t="s">
        <v>541</v>
      </c>
      <c r="D124" t="s">
        <v>553</v>
      </c>
      <c r="E124" t="s">
        <v>543</v>
      </c>
      <c r="F124" t="str">
        <f>IFERROR(INDEX(Aux!E:E,MATCH(Dados!E124,Aux!D:D,0)),INDEX(Aux!K:K,MATCH(Dados!B124,Aux!I:I,0)))</f>
        <v>Esquerda</v>
      </c>
      <c r="G124" s="2">
        <v>177449</v>
      </c>
      <c r="H124" s="2">
        <v>170898</v>
      </c>
    </row>
    <row r="125" spans="1:8" x14ac:dyDescent="0.3">
      <c r="A125" t="s">
        <v>920</v>
      </c>
      <c r="B125" t="s">
        <v>716</v>
      </c>
      <c r="C125" t="s">
        <v>717</v>
      </c>
      <c r="D125" t="s">
        <v>208</v>
      </c>
      <c r="E125" t="s">
        <v>209</v>
      </c>
      <c r="F125" t="str">
        <f>IFERROR(INDEX(Aux!E:E,MATCH(Dados!E125,Aux!D:D,0)),INDEX(Aux!K:K,MATCH(Dados!B125,Aux!I:I,0)))</f>
        <v>Indefinido</v>
      </c>
      <c r="G125" s="2">
        <v>177000</v>
      </c>
      <c r="H125" s="2">
        <v>0</v>
      </c>
    </row>
    <row r="126" spans="1:8" x14ac:dyDescent="0.3">
      <c r="A126" t="s">
        <v>923</v>
      </c>
      <c r="B126" t="s">
        <v>857</v>
      </c>
      <c r="C126" t="s">
        <v>858</v>
      </c>
      <c r="D126" t="s">
        <v>224</v>
      </c>
      <c r="E126" t="s">
        <v>225</v>
      </c>
      <c r="F126" t="str">
        <f>IFERROR(INDEX(Aux!E:E,MATCH(Dados!E126,Aux!D:D,0)),INDEX(Aux!K:K,MATCH(Dados!B126,Aux!I:I,0)))</f>
        <v>Centro</v>
      </c>
      <c r="G126" s="2">
        <v>176812</v>
      </c>
      <c r="H126" s="2">
        <v>0</v>
      </c>
    </row>
    <row r="127" spans="1:8" x14ac:dyDescent="0.3">
      <c r="A127" t="s">
        <v>918</v>
      </c>
      <c r="B127" t="s">
        <v>756</v>
      </c>
      <c r="C127" t="s">
        <v>757</v>
      </c>
      <c r="D127" t="s">
        <v>361</v>
      </c>
      <c r="E127" t="s">
        <v>362</v>
      </c>
      <c r="F127" t="str">
        <f>IFERROR(INDEX(Aux!E:E,MATCH(Dados!E127,Aux!D:D,0)),INDEX(Aux!K:K,MATCH(Dados!B127,Aux!I:I,0)))</f>
        <v>Esquerda</v>
      </c>
      <c r="G127" s="2">
        <v>176629</v>
      </c>
      <c r="H127" s="2">
        <v>0</v>
      </c>
    </row>
    <row r="128" spans="1:8" x14ac:dyDescent="0.3">
      <c r="A128" t="s">
        <v>922</v>
      </c>
      <c r="B128" t="s">
        <v>599</v>
      </c>
      <c r="C128" t="s">
        <v>600</v>
      </c>
      <c r="D128" t="s">
        <v>410</v>
      </c>
      <c r="E128" t="s">
        <v>411</v>
      </c>
      <c r="F128" t="str">
        <f>IFERROR(INDEX(Aux!E:E,MATCH(Dados!E128,Aux!D:D,0)),INDEX(Aux!K:K,MATCH(Dados!B128,Aux!I:I,0)))</f>
        <v>Centro esquerda</v>
      </c>
      <c r="G128" s="2">
        <v>175799</v>
      </c>
      <c r="H128" s="2">
        <v>0</v>
      </c>
    </row>
    <row r="129" spans="1:8" x14ac:dyDescent="0.3">
      <c r="A129" t="s">
        <v>930</v>
      </c>
      <c r="B129" t="s">
        <v>488</v>
      </c>
      <c r="C129" t="s">
        <v>489</v>
      </c>
      <c r="D129" t="s">
        <v>228</v>
      </c>
      <c r="E129" t="s">
        <v>229</v>
      </c>
      <c r="F129" t="str">
        <f>IFERROR(INDEX(Aux!E:E,MATCH(Dados!E129,Aux!D:D,0)),INDEX(Aux!K:K,MATCH(Dados!B129,Aux!I:I,0)))</f>
        <v>Indefinido</v>
      </c>
      <c r="G129" s="2">
        <v>174229</v>
      </c>
      <c r="H129" s="2">
        <v>0</v>
      </c>
    </row>
    <row r="130" spans="1:8" x14ac:dyDescent="0.3">
      <c r="A130" t="s">
        <v>915</v>
      </c>
      <c r="B130" t="s">
        <v>135</v>
      </c>
      <c r="C130" t="s">
        <v>136</v>
      </c>
      <c r="D130" t="s">
        <v>175</v>
      </c>
      <c r="E130" t="s">
        <v>176</v>
      </c>
      <c r="F130" t="str">
        <f>IFERROR(INDEX(Aux!E:E,MATCH(Dados!E130,Aux!D:D,0)),INDEX(Aux!K:K,MATCH(Dados!B130,Aux!I:I,0)))</f>
        <v>Centro esquerda</v>
      </c>
      <c r="G130" s="2">
        <v>173669</v>
      </c>
      <c r="H130" s="2">
        <v>146012</v>
      </c>
    </row>
    <row r="131" spans="1:8" x14ac:dyDescent="0.3">
      <c r="A131" t="s">
        <v>926</v>
      </c>
      <c r="B131" t="s">
        <v>817</v>
      </c>
      <c r="C131" t="s">
        <v>818</v>
      </c>
      <c r="D131" t="s">
        <v>243</v>
      </c>
      <c r="E131" t="s">
        <v>244</v>
      </c>
      <c r="F131" t="str">
        <f>IFERROR(INDEX(Aux!E:E,MATCH(Dados!E131,Aux!D:D,0)),INDEX(Aux!K:K,MATCH(Dados!B131,Aux!I:I,0)))</f>
        <v>Indefinido</v>
      </c>
      <c r="G131" s="2">
        <v>173160</v>
      </c>
      <c r="H131" s="2">
        <v>0</v>
      </c>
    </row>
    <row r="132" spans="1:8" x14ac:dyDescent="0.3">
      <c r="A132" t="s">
        <v>923</v>
      </c>
      <c r="B132" t="s">
        <v>440</v>
      </c>
      <c r="C132" t="s">
        <v>441</v>
      </c>
      <c r="D132" t="s">
        <v>224</v>
      </c>
      <c r="E132" t="s">
        <v>225</v>
      </c>
      <c r="F132" t="str">
        <f>IFERROR(INDEX(Aux!E:E,MATCH(Dados!E132,Aux!D:D,0)),INDEX(Aux!K:K,MATCH(Dados!B132,Aux!I:I,0)))</f>
        <v>Centro</v>
      </c>
      <c r="G132" s="2">
        <v>172068</v>
      </c>
      <c r="H132" s="2">
        <v>0</v>
      </c>
    </row>
    <row r="133" spans="1:8" x14ac:dyDescent="0.3">
      <c r="A133" t="s">
        <v>932</v>
      </c>
      <c r="B133" t="s">
        <v>875</v>
      </c>
      <c r="C133" t="s">
        <v>876</v>
      </c>
      <c r="D133" t="s">
        <v>619</v>
      </c>
      <c r="E133" t="s">
        <v>620</v>
      </c>
      <c r="F133" t="str">
        <f>IFERROR(INDEX(Aux!E:E,MATCH(Dados!E133,Aux!D:D,0)),INDEX(Aux!K:K,MATCH(Dados!B133,Aux!I:I,0)))</f>
        <v>Indefinido</v>
      </c>
      <c r="G133" s="2">
        <v>171600</v>
      </c>
      <c r="H133" s="2">
        <v>0</v>
      </c>
    </row>
    <row r="134" spans="1:8" x14ac:dyDescent="0.3">
      <c r="A134" t="s">
        <v>920</v>
      </c>
      <c r="B134" t="s">
        <v>857</v>
      </c>
      <c r="C134" t="s">
        <v>858</v>
      </c>
      <c r="D134" t="s">
        <v>6</v>
      </c>
      <c r="E134" t="s">
        <v>7</v>
      </c>
      <c r="F134" t="str">
        <f>IFERROR(INDEX(Aux!E:E,MATCH(Dados!E134,Aux!D:D,0)),INDEX(Aux!K:K,MATCH(Dados!B134,Aux!I:I,0)))</f>
        <v>Centro esquerda</v>
      </c>
      <c r="G134" s="2">
        <v>171263</v>
      </c>
      <c r="H134" s="2">
        <v>116524</v>
      </c>
    </row>
    <row r="135" spans="1:8" x14ac:dyDescent="0.3">
      <c r="A135" t="s">
        <v>919</v>
      </c>
      <c r="B135" t="s">
        <v>206</v>
      </c>
      <c r="C135" t="s">
        <v>207</v>
      </c>
      <c r="D135" t="s">
        <v>270</v>
      </c>
      <c r="E135" t="s">
        <v>271</v>
      </c>
      <c r="F135" t="str">
        <f>IFERROR(INDEX(Aux!E:E,MATCH(Dados!E135,Aux!D:D,0)),INDEX(Aux!K:K,MATCH(Dados!B135,Aux!I:I,0)))</f>
        <v>Centro direita</v>
      </c>
      <c r="G135" s="2">
        <v>170248</v>
      </c>
      <c r="H135" s="2">
        <v>0</v>
      </c>
    </row>
    <row r="136" spans="1:8" x14ac:dyDescent="0.3">
      <c r="A136" t="s">
        <v>933</v>
      </c>
      <c r="B136" t="s">
        <v>756</v>
      </c>
      <c r="C136" t="s">
        <v>757</v>
      </c>
      <c r="D136" t="s">
        <v>398</v>
      </c>
      <c r="E136" t="s">
        <v>399</v>
      </c>
      <c r="F136" t="str">
        <f>IFERROR(INDEX(Aux!E:E,MATCH(Dados!E136,Aux!D:D,0)),INDEX(Aux!K:K,MATCH(Dados!B136,Aux!I:I,0)))</f>
        <v>Indefinido</v>
      </c>
      <c r="G136" s="2">
        <v>169881</v>
      </c>
      <c r="H136" s="2">
        <v>0</v>
      </c>
    </row>
    <row r="137" spans="1:8" x14ac:dyDescent="0.3">
      <c r="A137" t="s">
        <v>919</v>
      </c>
      <c r="B137" t="s">
        <v>690</v>
      </c>
      <c r="C137" t="s">
        <v>691</v>
      </c>
      <c r="D137" t="s">
        <v>463</v>
      </c>
      <c r="E137" t="s">
        <v>460</v>
      </c>
      <c r="F137" t="str">
        <f>IFERROR(INDEX(Aux!E:E,MATCH(Dados!E137,Aux!D:D,0)),INDEX(Aux!K:K,MATCH(Dados!B137,Aux!I:I,0)))</f>
        <v>Indefinido</v>
      </c>
      <c r="G137" s="2">
        <v>167663</v>
      </c>
      <c r="H137" s="2">
        <v>0</v>
      </c>
    </row>
    <row r="138" spans="1:8" x14ac:dyDescent="0.3">
      <c r="A138" t="s">
        <v>925</v>
      </c>
      <c r="B138" t="s">
        <v>756</v>
      </c>
      <c r="C138" t="s">
        <v>757</v>
      </c>
      <c r="D138" t="s">
        <v>298</v>
      </c>
      <c r="E138" t="s">
        <v>299</v>
      </c>
      <c r="F138" t="str">
        <f>IFERROR(INDEX(Aux!E:E,MATCH(Dados!E138,Aux!D:D,0)),INDEX(Aux!K:K,MATCH(Dados!B138,Aux!I:I,0)))</f>
        <v>Direita</v>
      </c>
      <c r="G138" s="2">
        <v>164148</v>
      </c>
      <c r="H138" s="2">
        <v>0</v>
      </c>
    </row>
    <row r="139" spans="1:8" x14ac:dyDescent="0.3">
      <c r="A139" t="s">
        <v>920</v>
      </c>
      <c r="B139" t="s">
        <v>817</v>
      </c>
      <c r="C139" t="s">
        <v>818</v>
      </c>
      <c r="D139" t="s">
        <v>705</v>
      </c>
      <c r="E139" t="s">
        <v>706</v>
      </c>
      <c r="F139" t="str">
        <f>IFERROR(INDEX(Aux!E:E,MATCH(Dados!E139,Aux!D:D,0)),INDEX(Aux!K:K,MATCH(Dados!B139,Aux!I:I,0)))</f>
        <v>Centro</v>
      </c>
      <c r="G139" s="2">
        <v>162442</v>
      </c>
      <c r="H139" s="2">
        <v>47270</v>
      </c>
    </row>
    <row r="140" spans="1:8" x14ac:dyDescent="0.3">
      <c r="A140" t="s">
        <v>923</v>
      </c>
      <c r="B140" t="s">
        <v>716</v>
      </c>
      <c r="C140" t="s">
        <v>717</v>
      </c>
      <c r="D140" t="s">
        <v>224</v>
      </c>
      <c r="E140" t="s">
        <v>225</v>
      </c>
      <c r="F140" t="str">
        <f>IFERROR(INDEX(Aux!E:E,MATCH(Dados!E140,Aux!D:D,0)),INDEX(Aux!K:K,MATCH(Dados!B140,Aux!I:I,0)))</f>
        <v>Centro</v>
      </c>
      <c r="G140" s="2">
        <v>158717</v>
      </c>
      <c r="H140" s="2">
        <v>0</v>
      </c>
    </row>
    <row r="141" spans="1:8" x14ac:dyDescent="0.3">
      <c r="A141" t="s">
        <v>920</v>
      </c>
      <c r="B141" t="s">
        <v>893</v>
      </c>
      <c r="C141" t="s">
        <v>894</v>
      </c>
      <c r="D141" t="s">
        <v>208</v>
      </c>
      <c r="E141" t="s">
        <v>209</v>
      </c>
      <c r="F141" t="str">
        <f>IFERROR(INDEX(Aux!E:E,MATCH(Dados!E141,Aux!D:D,0)),INDEX(Aux!K:K,MATCH(Dados!B141,Aux!I:I,0)))</f>
        <v>Indefinido</v>
      </c>
      <c r="G141" s="2">
        <v>157999</v>
      </c>
      <c r="H141" s="2">
        <v>0</v>
      </c>
    </row>
    <row r="142" spans="1:8" x14ac:dyDescent="0.3">
      <c r="A142" t="s">
        <v>917</v>
      </c>
      <c r="B142" t="s">
        <v>206</v>
      </c>
      <c r="C142" t="s">
        <v>207</v>
      </c>
      <c r="D142" t="s">
        <v>249</v>
      </c>
      <c r="E142" t="s">
        <v>250</v>
      </c>
      <c r="F142" t="str">
        <f>IFERROR(INDEX(Aux!E:E,MATCH(Dados!E142,Aux!D:D,0)),INDEX(Aux!K:K,MATCH(Dados!B142,Aux!I:I,0)))</f>
        <v>Esquerda</v>
      </c>
      <c r="G142" s="2">
        <v>157763</v>
      </c>
      <c r="H142" s="2">
        <v>0</v>
      </c>
    </row>
    <row r="143" spans="1:8" x14ac:dyDescent="0.3">
      <c r="A143" t="s">
        <v>934</v>
      </c>
      <c r="B143" t="s">
        <v>857</v>
      </c>
      <c r="C143" t="s">
        <v>858</v>
      </c>
      <c r="D143" t="s">
        <v>853</v>
      </c>
      <c r="E143" t="s">
        <v>854</v>
      </c>
      <c r="F143" t="str">
        <f>IFERROR(INDEX(Aux!E:E,MATCH(Dados!E143,Aux!D:D,0)),INDEX(Aux!K:K,MATCH(Dados!B143,Aux!I:I,0)))</f>
        <v>Indefinido</v>
      </c>
      <c r="G143" s="2">
        <v>157519</v>
      </c>
      <c r="H143" s="2">
        <v>0</v>
      </c>
    </row>
    <row r="144" spans="1:8" x14ac:dyDescent="0.3">
      <c r="A144" t="s">
        <v>918</v>
      </c>
      <c r="B144" t="s">
        <v>558</v>
      </c>
      <c r="C144" t="s">
        <v>559</v>
      </c>
      <c r="D144" t="s">
        <v>597</v>
      </c>
      <c r="E144" t="s">
        <v>598</v>
      </c>
      <c r="F144" t="str">
        <f>IFERROR(INDEX(Aux!E:E,MATCH(Dados!E144,Aux!D:D,0)),INDEX(Aux!K:K,MATCH(Dados!B144,Aux!I:I,0)))</f>
        <v>Direita</v>
      </c>
      <c r="G144" s="2">
        <v>155776</v>
      </c>
      <c r="H144" s="2">
        <v>177274</v>
      </c>
    </row>
    <row r="145" spans="1:8" x14ac:dyDescent="0.3">
      <c r="A145" t="s">
        <v>917</v>
      </c>
      <c r="B145" t="s">
        <v>558</v>
      </c>
      <c r="C145" t="s">
        <v>559</v>
      </c>
      <c r="D145" t="s">
        <v>591</v>
      </c>
      <c r="E145" t="s">
        <v>592</v>
      </c>
      <c r="F145" t="str">
        <f>IFERROR(INDEX(Aux!E:E,MATCH(Dados!E145,Aux!D:D,0)),INDEX(Aux!K:K,MATCH(Dados!B145,Aux!I:I,0)))</f>
        <v>Centro direita</v>
      </c>
      <c r="G145" s="2">
        <v>155252</v>
      </c>
      <c r="H145" s="2">
        <v>166353</v>
      </c>
    </row>
    <row r="146" spans="1:8" x14ac:dyDescent="0.3">
      <c r="A146" t="s">
        <v>928</v>
      </c>
      <c r="B146" t="s">
        <v>558</v>
      </c>
      <c r="C146" t="s">
        <v>559</v>
      </c>
      <c r="D146" t="s">
        <v>595</v>
      </c>
      <c r="E146" t="s">
        <v>596</v>
      </c>
      <c r="F146" t="str">
        <f>IFERROR(INDEX(Aux!E:E,MATCH(Dados!E146,Aux!D:D,0)),INDEX(Aux!K:K,MATCH(Dados!B146,Aux!I:I,0)))</f>
        <v>Centro direita</v>
      </c>
      <c r="G146" s="2">
        <v>152247</v>
      </c>
      <c r="H146" s="2">
        <v>148144</v>
      </c>
    </row>
    <row r="147" spans="1:8" x14ac:dyDescent="0.3">
      <c r="A147" t="s">
        <v>921</v>
      </c>
      <c r="B147" t="s">
        <v>488</v>
      </c>
      <c r="C147" t="s">
        <v>489</v>
      </c>
      <c r="D147" t="s">
        <v>68</v>
      </c>
      <c r="E147" t="s">
        <v>69</v>
      </c>
      <c r="F147" t="str">
        <f>IFERROR(INDEX(Aux!E:E,MATCH(Dados!E147,Aux!D:D,0)),INDEX(Aux!K:K,MATCH(Dados!B147,Aux!I:I,0)))</f>
        <v>Indefinido</v>
      </c>
      <c r="G147" s="2">
        <v>151875</v>
      </c>
      <c r="H147" s="2">
        <v>0</v>
      </c>
    </row>
    <row r="148" spans="1:8" x14ac:dyDescent="0.3">
      <c r="A148" t="s">
        <v>931</v>
      </c>
      <c r="B148" t="s">
        <v>558</v>
      </c>
      <c r="C148" t="s">
        <v>559</v>
      </c>
      <c r="D148" t="s">
        <v>24</v>
      </c>
      <c r="E148" t="s">
        <v>25</v>
      </c>
      <c r="F148" t="str">
        <f>IFERROR(INDEX(Aux!E:E,MATCH(Dados!E148,Aux!D:D,0)),INDEX(Aux!K:K,MATCH(Dados!B148,Aux!I:I,0)))</f>
        <v>Centro esquerda</v>
      </c>
      <c r="G148" s="2">
        <v>151649</v>
      </c>
      <c r="H148" s="2">
        <v>0</v>
      </c>
    </row>
    <row r="149" spans="1:8" x14ac:dyDescent="0.3">
      <c r="A149" t="s">
        <v>925</v>
      </c>
      <c r="B149" t="s">
        <v>799</v>
      </c>
      <c r="C149" t="s">
        <v>800</v>
      </c>
      <c r="D149" t="s">
        <v>100</v>
      </c>
      <c r="E149" t="s">
        <v>799</v>
      </c>
      <c r="F149" t="str">
        <f>IFERROR(INDEX(Aux!E:E,MATCH(Dados!E149,Aux!D:D,0)),INDEX(Aux!K:K,MATCH(Dados!B149,Aux!I:I,0)))</f>
        <v>Esquerda</v>
      </c>
      <c r="G149" s="2">
        <v>150770</v>
      </c>
      <c r="H149" s="2">
        <v>114678</v>
      </c>
    </row>
    <row r="150" spans="1:8" x14ac:dyDescent="0.3">
      <c r="A150" t="s">
        <v>927</v>
      </c>
      <c r="B150" t="s">
        <v>558</v>
      </c>
      <c r="C150" t="s">
        <v>559</v>
      </c>
      <c r="D150" t="s">
        <v>36</v>
      </c>
      <c r="E150" t="s">
        <v>37</v>
      </c>
      <c r="F150" t="str">
        <f>IFERROR(INDEX(Aux!E:E,MATCH(Dados!E150,Aux!D:D,0)),INDEX(Aux!K:K,MATCH(Dados!B150,Aux!I:I,0)))</f>
        <v>Centro</v>
      </c>
      <c r="G150" s="2">
        <v>149429</v>
      </c>
      <c r="H150" s="2">
        <v>0</v>
      </c>
    </row>
    <row r="151" spans="1:8" x14ac:dyDescent="0.3">
      <c r="A151" t="s">
        <v>918</v>
      </c>
      <c r="B151" t="s">
        <v>599</v>
      </c>
      <c r="C151" t="s">
        <v>600</v>
      </c>
      <c r="D151" t="s">
        <v>80</v>
      </c>
      <c r="E151" t="s">
        <v>81</v>
      </c>
      <c r="F151" t="str">
        <f>IFERROR(INDEX(Aux!E:E,MATCH(Dados!E151,Aux!D:D,0)),INDEX(Aux!K:K,MATCH(Dados!B151,Aux!I:I,0)))</f>
        <v>Centro</v>
      </c>
      <c r="G151" s="2">
        <v>147095</v>
      </c>
      <c r="H151" s="2">
        <v>159225</v>
      </c>
    </row>
    <row r="152" spans="1:8" x14ac:dyDescent="0.3">
      <c r="A152" t="s">
        <v>928</v>
      </c>
      <c r="B152" t="s">
        <v>756</v>
      </c>
      <c r="C152" t="s">
        <v>757</v>
      </c>
      <c r="D152" t="s">
        <v>712</v>
      </c>
      <c r="E152" t="s">
        <v>713</v>
      </c>
      <c r="F152" t="str">
        <f>IFERROR(INDEX(Aux!E:E,MATCH(Dados!E152,Aux!D:D,0)),INDEX(Aux!K:K,MATCH(Dados!B152,Aux!I:I,0)))</f>
        <v>Esquerda</v>
      </c>
      <c r="G152" s="2">
        <v>146613</v>
      </c>
      <c r="H152" s="2">
        <v>0</v>
      </c>
    </row>
    <row r="153" spans="1:8" x14ac:dyDescent="0.3">
      <c r="A153" t="s">
        <v>920</v>
      </c>
      <c r="B153" t="s">
        <v>4</v>
      </c>
      <c r="C153" t="s">
        <v>5</v>
      </c>
      <c r="D153" t="s">
        <v>6</v>
      </c>
      <c r="E153" t="s">
        <v>7</v>
      </c>
      <c r="F153" t="str">
        <f>IFERROR(INDEX(Aux!E:E,MATCH(Dados!E153,Aux!D:D,0)),INDEX(Aux!K:K,MATCH(Dados!B153,Aux!I:I,0)))</f>
        <v>Centro esquerda</v>
      </c>
      <c r="G153" s="2">
        <v>146278</v>
      </c>
      <c r="H153" s="2">
        <v>93204</v>
      </c>
    </row>
    <row r="154" spans="1:8" x14ac:dyDescent="0.3">
      <c r="A154" t="s">
        <v>918</v>
      </c>
      <c r="B154" t="s">
        <v>282</v>
      </c>
      <c r="C154" t="s">
        <v>283</v>
      </c>
      <c r="D154" t="s">
        <v>292</v>
      </c>
      <c r="E154" t="s">
        <v>293</v>
      </c>
      <c r="F154" t="str">
        <f>IFERROR(INDEX(Aux!E:E,MATCH(Dados!E154,Aux!D:D,0)),INDEX(Aux!K:K,MATCH(Dados!B154,Aux!I:I,0)))</f>
        <v>Direita</v>
      </c>
      <c r="G154" s="2">
        <v>145517</v>
      </c>
      <c r="H154" s="2">
        <v>0</v>
      </c>
    </row>
    <row r="155" spans="1:8" x14ac:dyDescent="0.3">
      <c r="A155" t="s">
        <v>922</v>
      </c>
      <c r="B155" t="s">
        <v>716</v>
      </c>
      <c r="C155" t="s">
        <v>717</v>
      </c>
      <c r="D155" t="s">
        <v>196</v>
      </c>
      <c r="E155" t="s">
        <v>197</v>
      </c>
      <c r="F155" t="str">
        <f>IFERROR(INDEX(Aux!E:E,MATCH(Dados!E155,Aux!D:D,0)),INDEX(Aux!K:K,MATCH(Dados!B155,Aux!I:I,0)))</f>
        <v>Centro direita</v>
      </c>
      <c r="G155" s="2">
        <v>141675</v>
      </c>
      <c r="H155" s="2">
        <v>0</v>
      </c>
    </row>
    <row r="156" spans="1:8" x14ac:dyDescent="0.3">
      <c r="A156" t="s">
        <v>918</v>
      </c>
      <c r="B156" t="s">
        <v>4</v>
      </c>
      <c r="C156" t="s">
        <v>5</v>
      </c>
      <c r="D156" t="s">
        <v>80</v>
      </c>
      <c r="E156" t="s">
        <v>81</v>
      </c>
      <c r="F156" t="str">
        <f>IFERROR(INDEX(Aux!E:E,MATCH(Dados!E156,Aux!D:D,0)),INDEX(Aux!K:K,MATCH(Dados!B156,Aux!I:I,0)))</f>
        <v>Centro</v>
      </c>
      <c r="G156" s="2">
        <v>140967</v>
      </c>
      <c r="H156" s="2">
        <v>127972</v>
      </c>
    </row>
    <row r="157" spans="1:8" x14ac:dyDescent="0.3">
      <c r="A157" t="s">
        <v>915</v>
      </c>
      <c r="B157" t="s">
        <v>902</v>
      </c>
      <c r="C157" t="s">
        <v>902</v>
      </c>
      <c r="D157" t="s">
        <v>100</v>
      </c>
      <c r="E157" t="s">
        <v>902</v>
      </c>
      <c r="F157" t="str">
        <f>IFERROR(INDEX(Aux!E:E,MATCH(Dados!E157,Aux!D:D,0)),INDEX(Aux!K:K,MATCH(Dados!B157,Aux!I:I,0)))</f>
        <v>Centro</v>
      </c>
      <c r="G157" s="2">
        <v>140183</v>
      </c>
      <c r="H157" s="2">
        <v>202942</v>
      </c>
    </row>
    <row r="158" spans="1:8" x14ac:dyDescent="0.3">
      <c r="A158" t="s">
        <v>933</v>
      </c>
      <c r="B158" t="s">
        <v>599</v>
      </c>
      <c r="C158" t="s">
        <v>600</v>
      </c>
      <c r="D158" t="s">
        <v>214</v>
      </c>
      <c r="E158" t="s">
        <v>215</v>
      </c>
      <c r="F158" t="str">
        <f>IFERROR(INDEX(Aux!E:E,MATCH(Dados!E158,Aux!D:D,0)),INDEX(Aux!K:K,MATCH(Dados!B158,Aux!I:I,0)))</f>
        <v>Centro</v>
      </c>
      <c r="G158" s="2">
        <v>139691</v>
      </c>
      <c r="H158" s="2">
        <v>0</v>
      </c>
    </row>
    <row r="159" spans="1:8" x14ac:dyDescent="0.3">
      <c r="A159" t="s">
        <v>930</v>
      </c>
      <c r="B159" t="s">
        <v>558</v>
      </c>
      <c r="C159" t="s">
        <v>559</v>
      </c>
      <c r="D159" t="s">
        <v>562</v>
      </c>
      <c r="E159" t="s">
        <v>563</v>
      </c>
      <c r="F159" t="str">
        <f>IFERROR(INDEX(Aux!E:E,MATCH(Dados!E159,Aux!D:D,0)),INDEX(Aux!K:K,MATCH(Dados!B159,Aux!I:I,0)))</f>
        <v>Direita</v>
      </c>
      <c r="G159" s="2">
        <v>139182</v>
      </c>
      <c r="H159" s="2">
        <v>0</v>
      </c>
    </row>
    <row r="160" spans="1:8" x14ac:dyDescent="0.3">
      <c r="A160" t="s">
        <v>916</v>
      </c>
      <c r="B160" t="s">
        <v>440</v>
      </c>
      <c r="C160" t="s">
        <v>441</v>
      </c>
      <c r="D160" t="s">
        <v>466</v>
      </c>
      <c r="E160" t="s">
        <v>467</v>
      </c>
      <c r="F160" t="str">
        <f>IFERROR(INDEX(Aux!E:E,MATCH(Dados!E160,Aux!D:D,0)),INDEX(Aux!K:K,MATCH(Dados!B160,Aux!I:I,0)))</f>
        <v>Centro esquerda</v>
      </c>
      <c r="G160" s="2">
        <v>137659</v>
      </c>
      <c r="H160" s="2">
        <v>0</v>
      </c>
    </row>
    <row r="161" spans="1:8" x14ac:dyDescent="0.3">
      <c r="A161" t="s">
        <v>918</v>
      </c>
      <c r="B161" t="s">
        <v>875</v>
      </c>
      <c r="C161" t="s">
        <v>876</v>
      </c>
      <c r="D161" t="s">
        <v>80</v>
      </c>
      <c r="E161" t="s">
        <v>81</v>
      </c>
      <c r="F161" t="str">
        <f>IFERROR(INDEX(Aux!E:E,MATCH(Dados!E161,Aux!D:D,0)),INDEX(Aux!K:K,MATCH(Dados!B161,Aux!I:I,0)))</f>
        <v>Centro</v>
      </c>
      <c r="G161" s="2">
        <v>135333</v>
      </c>
      <c r="H161" s="2">
        <v>314524</v>
      </c>
    </row>
    <row r="162" spans="1:8" x14ac:dyDescent="0.3">
      <c r="A162" t="s">
        <v>920</v>
      </c>
      <c r="B162" t="s">
        <v>770</v>
      </c>
      <c r="C162" t="s">
        <v>771</v>
      </c>
      <c r="D162" t="s">
        <v>208</v>
      </c>
      <c r="E162" t="s">
        <v>209</v>
      </c>
      <c r="F162" t="str">
        <f>IFERROR(INDEX(Aux!E:E,MATCH(Dados!E162,Aux!D:D,0)),INDEX(Aux!K:K,MATCH(Dados!B162,Aux!I:I,0)))</f>
        <v>Indefinido</v>
      </c>
      <c r="G162" s="2">
        <v>134912</v>
      </c>
      <c r="H162" s="2">
        <v>0</v>
      </c>
    </row>
    <row r="163" spans="1:8" x14ac:dyDescent="0.3">
      <c r="A163" t="s">
        <v>919</v>
      </c>
      <c r="B163" t="s">
        <v>893</v>
      </c>
      <c r="C163" t="s">
        <v>894</v>
      </c>
      <c r="D163" t="s">
        <v>463</v>
      </c>
      <c r="E163" t="s">
        <v>460</v>
      </c>
      <c r="F163" t="str">
        <f>IFERROR(INDEX(Aux!E:E,MATCH(Dados!E163,Aux!D:D,0)),INDEX(Aux!K:K,MATCH(Dados!B163,Aux!I:I,0)))</f>
        <v>Indefinido</v>
      </c>
      <c r="G163" s="2">
        <v>134420</v>
      </c>
      <c r="H163" s="2">
        <v>0</v>
      </c>
    </row>
    <row r="164" spans="1:8" x14ac:dyDescent="0.3">
      <c r="A164" t="s">
        <v>918</v>
      </c>
      <c r="B164" t="s">
        <v>857</v>
      </c>
      <c r="C164" t="s">
        <v>858</v>
      </c>
      <c r="D164" t="s">
        <v>361</v>
      </c>
      <c r="E164" t="s">
        <v>362</v>
      </c>
      <c r="F164" t="str">
        <f>IFERROR(INDEX(Aux!E:E,MATCH(Dados!E164,Aux!D:D,0)),INDEX(Aux!K:K,MATCH(Dados!B164,Aux!I:I,0)))</f>
        <v>Esquerda</v>
      </c>
      <c r="G164" s="2">
        <v>132987</v>
      </c>
      <c r="H164" s="2">
        <v>0</v>
      </c>
    </row>
    <row r="165" spans="1:8" x14ac:dyDescent="0.3">
      <c r="A165" t="s">
        <v>924</v>
      </c>
      <c r="B165" t="s">
        <v>857</v>
      </c>
      <c r="C165" t="s">
        <v>858</v>
      </c>
      <c r="D165" t="s">
        <v>450</v>
      </c>
      <c r="E165" t="s">
        <v>451</v>
      </c>
      <c r="F165" t="str">
        <f>IFERROR(INDEX(Aux!E:E,MATCH(Dados!E165,Aux!D:D,0)),INDEX(Aux!K:K,MATCH(Dados!B165,Aux!I:I,0)))</f>
        <v>Centro</v>
      </c>
      <c r="G165" s="2">
        <v>132719</v>
      </c>
      <c r="H165" s="2">
        <v>0</v>
      </c>
    </row>
    <row r="166" spans="1:8" x14ac:dyDescent="0.3">
      <c r="A166" t="s">
        <v>919</v>
      </c>
      <c r="B166" t="s">
        <v>785</v>
      </c>
      <c r="C166" t="s">
        <v>786</v>
      </c>
      <c r="D166" t="s">
        <v>100</v>
      </c>
      <c r="E166" t="s">
        <v>785</v>
      </c>
      <c r="F166" t="str">
        <f>IFERROR(INDEX(Aux!E:E,MATCH(Dados!E166,Aux!D:D,0)),INDEX(Aux!K:K,MATCH(Dados!B166,Aux!I:I,0)))</f>
        <v>Centro direita</v>
      </c>
      <c r="G166" s="2">
        <v>132341</v>
      </c>
      <c r="H166" s="2">
        <v>0</v>
      </c>
    </row>
    <row r="167" spans="1:8" x14ac:dyDescent="0.3">
      <c r="A167" t="s">
        <v>923</v>
      </c>
      <c r="B167" t="s">
        <v>488</v>
      </c>
      <c r="C167" t="s">
        <v>489</v>
      </c>
      <c r="D167" t="s">
        <v>34</v>
      </c>
      <c r="E167" t="s">
        <v>35</v>
      </c>
      <c r="F167" t="str">
        <f>IFERROR(INDEX(Aux!E:E,MATCH(Dados!E167,Aux!D:D,0)),INDEX(Aux!K:K,MATCH(Dados!B167,Aux!I:I,0)))</f>
        <v>Indefinido</v>
      </c>
      <c r="G167" s="2">
        <v>130768</v>
      </c>
      <c r="H167" s="2">
        <v>0</v>
      </c>
    </row>
    <row r="168" spans="1:8" x14ac:dyDescent="0.3">
      <c r="A168" t="s">
        <v>926</v>
      </c>
      <c r="B168" t="s">
        <v>875</v>
      </c>
      <c r="C168" t="s">
        <v>876</v>
      </c>
      <c r="D168" t="s">
        <v>735</v>
      </c>
      <c r="E168" t="s">
        <v>736</v>
      </c>
      <c r="F168" t="str">
        <f>IFERROR(INDEX(Aux!E:E,MATCH(Dados!E168,Aux!D:D,0)),INDEX(Aux!K:K,MATCH(Dados!B168,Aux!I:I,0)))</f>
        <v>Centro</v>
      </c>
      <c r="G168" s="2">
        <v>130480</v>
      </c>
      <c r="H168" s="2">
        <v>0</v>
      </c>
    </row>
    <row r="169" spans="1:8" x14ac:dyDescent="0.3">
      <c r="A169" t="s">
        <v>915</v>
      </c>
      <c r="B169" t="s">
        <v>664</v>
      </c>
      <c r="C169" t="s">
        <v>665</v>
      </c>
      <c r="D169" t="s">
        <v>100</v>
      </c>
      <c r="E169" t="s">
        <v>664</v>
      </c>
      <c r="F169" t="str">
        <f>IFERROR(INDEX(Aux!E:E,MATCH(Dados!E169,Aux!D:D,0)),INDEX(Aux!K:K,MATCH(Dados!B169,Aux!I:I,0)))</f>
        <v>Centro direita</v>
      </c>
      <c r="G169" s="2">
        <v>128636</v>
      </c>
      <c r="H169" s="2">
        <v>145780</v>
      </c>
    </row>
    <row r="170" spans="1:8" x14ac:dyDescent="0.3">
      <c r="A170" t="s">
        <v>929</v>
      </c>
      <c r="B170" t="s">
        <v>388</v>
      </c>
      <c r="C170" t="s">
        <v>389</v>
      </c>
      <c r="D170" t="s">
        <v>426</v>
      </c>
      <c r="E170" t="s">
        <v>427</v>
      </c>
      <c r="F170" t="str">
        <f>IFERROR(INDEX(Aux!E:E,MATCH(Dados!E170,Aux!D:D,0)),INDEX(Aux!K:K,MATCH(Dados!B170,Aux!I:I,0)))</f>
        <v>Centro</v>
      </c>
      <c r="G170" s="2">
        <v>126615</v>
      </c>
      <c r="H170" s="2">
        <v>0</v>
      </c>
    </row>
    <row r="171" spans="1:8" x14ac:dyDescent="0.3">
      <c r="A171" t="s">
        <v>928</v>
      </c>
      <c r="B171" t="s">
        <v>799</v>
      </c>
      <c r="C171" t="s">
        <v>800</v>
      </c>
      <c r="D171" t="s">
        <v>100</v>
      </c>
      <c r="E171" t="s">
        <v>799</v>
      </c>
      <c r="F171" t="str">
        <f>IFERROR(INDEX(Aux!E:E,MATCH(Dados!E171,Aux!D:D,0)),INDEX(Aux!K:K,MATCH(Dados!B171,Aux!I:I,0)))</f>
        <v>Esquerda</v>
      </c>
      <c r="G171" s="2">
        <v>126502</v>
      </c>
      <c r="H171" s="2">
        <v>70158</v>
      </c>
    </row>
    <row r="172" spans="1:8" x14ac:dyDescent="0.3">
      <c r="A172" t="s">
        <v>927</v>
      </c>
      <c r="B172" t="s">
        <v>799</v>
      </c>
      <c r="C172" t="s">
        <v>800</v>
      </c>
      <c r="D172" t="s">
        <v>100</v>
      </c>
      <c r="E172" t="s">
        <v>799</v>
      </c>
      <c r="F172" t="str">
        <f>IFERROR(INDEX(Aux!E:E,MATCH(Dados!E172,Aux!D:D,0)),INDEX(Aux!K:K,MATCH(Dados!B172,Aux!I:I,0)))</f>
        <v>Esquerda</v>
      </c>
      <c r="G172" s="2">
        <v>124339</v>
      </c>
      <c r="H172" s="2">
        <v>99266</v>
      </c>
    </row>
    <row r="173" spans="1:8" x14ac:dyDescent="0.3">
      <c r="A173" t="s">
        <v>931</v>
      </c>
      <c r="B173" t="s">
        <v>756</v>
      </c>
      <c r="C173" t="s">
        <v>757</v>
      </c>
      <c r="D173" t="s">
        <v>24</v>
      </c>
      <c r="E173" t="s">
        <v>25</v>
      </c>
      <c r="F173" t="str">
        <f>IFERROR(INDEX(Aux!E:E,MATCH(Dados!E173,Aux!D:D,0)),INDEX(Aux!K:K,MATCH(Dados!B173,Aux!I:I,0)))</f>
        <v>Centro esquerda</v>
      </c>
      <c r="G173" s="2">
        <v>124313</v>
      </c>
      <c r="H173" s="2">
        <v>0</v>
      </c>
    </row>
    <row r="174" spans="1:8" x14ac:dyDescent="0.3">
      <c r="A174" t="s">
        <v>922</v>
      </c>
      <c r="B174" t="s">
        <v>770</v>
      </c>
      <c r="C174" t="s">
        <v>771</v>
      </c>
      <c r="D174" t="s">
        <v>781</v>
      </c>
      <c r="E174" t="s">
        <v>782</v>
      </c>
      <c r="F174" t="str">
        <f>IFERROR(INDEX(Aux!E:E,MATCH(Dados!E174,Aux!D:D,0)),INDEX(Aux!K:K,MATCH(Dados!B174,Aux!I:I,0)))</f>
        <v>Centro direita</v>
      </c>
      <c r="G174" s="2">
        <v>123936</v>
      </c>
      <c r="H174" s="2">
        <v>0</v>
      </c>
    </row>
    <row r="175" spans="1:8" x14ac:dyDescent="0.3">
      <c r="A175" t="s">
        <v>925</v>
      </c>
      <c r="B175" t="s">
        <v>599</v>
      </c>
      <c r="C175" t="s">
        <v>600</v>
      </c>
      <c r="D175" t="s">
        <v>342</v>
      </c>
      <c r="E175" t="s">
        <v>341</v>
      </c>
      <c r="F175" t="str">
        <f>IFERROR(INDEX(Aux!E:E,MATCH(Dados!E175,Aux!D:D,0)),INDEX(Aux!K:K,MATCH(Dados!B175,Aux!I:I,0)))</f>
        <v>Centro</v>
      </c>
      <c r="G175" s="2">
        <v>122753</v>
      </c>
      <c r="H175" s="2">
        <v>0</v>
      </c>
    </row>
    <row r="176" spans="1:8" x14ac:dyDescent="0.3">
      <c r="A176" t="s">
        <v>935</v>
      </c>
      <c r="B176" t="s">
        <v>799</v>
      </c>
      <c r="C176" t="s">
        <v>800</v>
      </c>
      <c r="D176" t="s">
        <v>631</v>
      </c>
      <c r="E176" t="s">
        <v>632</v>
      </c>
      <c r="F176" t="str">
        <f>IFERROR(INDEX(Aux!E:E,MATCH(Dados!E176,Aux!D:D,0)),INDEX(Aux!K:K,MATCH(Dados!B176,Aux!I:I,0)))</f>
        <v>Direita</v>
      </c>
      <c r="G176" s="2">
        <v>122516</v>
      </c>
      <c r="H176" s="2">
        <v>72684</v>
      </c>
    </row>
    <row r="177" spans="1:8" x14ac:dyDescent="0.3">
      <c r="A177" t="s">
        <v>930</v>
      </c>
      <c r="B177" t="s">
        <v>716</v>
      </c>
      <c r="C177" t="s">
        <v>717</v>
      </c>
      <c r="D177" t="s">
        <v>228</v>
      </c>
      <c r="E177" t="s">
        <v>229</v>
      </c>
      <c r="F177" t="str">
        <f>IFERROR(INDEX(Aux!E:E,MATCH(Dados!E177,Aux!D:D,0)),INDEX(Aux!K:K,MATCH(Dados!B177,Aux!I:I,0)))</f>
        <v>Indefinido</v>
      </c>
      <c r="G177" s="2">
        <v>121445</v>
      </c>
      <c r="H177" s="2">
        <v>0</v>
      </c>
    </row>
    <row r="178" spans="1:8" x14ac:dyDescent="0.3">
      <c r="A178" t="s">
        <v>934</v>
      </c>
      <c r="B178" t="s">
        <v>799</v>
      </c>
      <c r="C178" t="s">
        <v>800</v>
      </c>
      <c r="D178" t="s">
        <v>100</v>
      </c>
      <c r="E178" t="s">
        <v>799</v>
      </c>
      <c r="F178" t="str">
        <f>IFERROR(INDEX(Aux!E:E,MATCH(Dados!E178,Aux!D:D,0)),INDEX(Aux!K:K,MATCH(Dados!B178,Aux!I:I,0)))</f>
        <v>Esquerda</v>
      </c>
      <c r="G178" s="2">
        <v>120849</v>
      </c>
      <c r="H178" s="2">
        <v>0</v>
      </c>
    </row>
    <row r="179" spans="1:8" x14ac:dyDescent="0.3">
      <c r="A179" t="s">
        <v>936</v>
      </c>
      <c r="B179" t="s">
        <v>4</v>
      </c>
      <c r="C179" t="s">
        <v>5</v>
      </c>
      <c r="D179" t="s">
        <v>60</v>
      </c>
      <c r="E179" t="s">
        <v>61</v>
      </c>
      <c r="F179" t="str">
        <f>IFERROR(INDEX(Aux!E:E,MATCH(Dados!E179,Aux!D:D,0)),INDEX(Aux!K:K,MATCH(Dados!B179,Aux!I:I,0)))</f>
        <v>Centro</v>
      </c>
      <c r="G179" s="2">
        <v>120654</v>
      </c>
      <c r="H179" s="2">
        <v>0</v>
      </c>
    </row>
    <row r="180" spans="1:8" x14ac:dyDescent="0.3">
      <c r="A180" t="s">
        <v>917</v>
      </c>
      <c r="B180" t="s">
        <v>875</v>
      </c>
      <c r="C180" t="s">
        <v>876</v>
      </c>
      <c r="D180" t="s">
        <v>891</v>
      </c>
      <c r="E180" t="s">
        <v>878</v>
      </c>
      <c r="F180" t="str">
        <f>IFERROR(INDEX(Aux!E:E,MATCH(Dados!E180,Aux!D:D,0)),INDEX(Aux!K:K,MATCH(Dados!B180,Aux!I:I,0)))</f>
        <v>Direita</v>
      </c>
      <c r="G180" s="2">
        <v>119776</v>
      </c>
      <c r="H180" s="2">
        <v>76928</v>
      </c>
    </row>
    <row r="181" spans="1:8" x14ac:dyDescent="0.3">
      <c r="A181" t="s">
        <v>918</v>
      </c>
      <c r="B181" t="s">
        <v>440</v>
      </c>
      <c r="C181" t="s">
        <v>441</v>
      </c>
      <c r="D181" t="s">
        <v>468</v>
      </c>
      <c r="E181" t="s">
        <v>469</v>
      </c>
      <c r="F181" t="str">
        <f>IFERROR(INDEX(Aux!E:E,MATCH(Dados!E181,Aux!D:D,0)),INDEX(Aux!K:K,MATCH(Dados!B181,Aux!I:I,0)))</f>
        <v>Indefinido</v>
      </c>
      <c r="G181" s="2">
        <v>119651</v>
      </c>
      <c r="H181" s="2">
        <v>0</v>
      </c>
    </row>
    <row r="182" spans="1:8" x14ac:dyDescent="0.3">
      <c r="A182" t="s">
        <v>926</v>
      </c>
      <c r="B182" t="s">
        <v>599</v>
      </c>
      <c r="C182" t="s">
        <v>600</v>
      </c>
      <c r="D182" t="s">
        <v>32</v>
      </c>
      <c r="E182" t="s">
        <v>33</v>
      </c>
      <c r="F182" t="str">
        <f>IFERROR(INDEX(Aux!E:E,MATCH(Dados!E182,Aux!D:D,0)),INDEX(Aux!K:K,MATCH(Dados!B182,Aux!I:I,0)))</f>
        <v>Esquerda</v>
      </c>
      <c r="G182" s="2">
        <v>118828</v>
      </c>
      <c r="H182" s="2">
        <v>0</v>
      </c>
    </row>
    <row r="183" spans="1:8" x14ac:dyDescent="0.3">
      <c r="A183" t="s">
        <v>916</v>
      </c>
      <c r="B183" t="s">
        <v>334</v>
      </c>
      <c r="C183" t="s">
        <v>335</v>
      </c>
      <c r="D183" t="s">
        <v>365</v>
      </c>
      <c r="E183" t="s">
        <v>366</v>
      </c>
      <c r="F183" t="str">
        <f>IFERROR(INDEX(Aux!E:E,MATCH(Dados!E183,Aux!D:D,0)),INDEX(Aux!K:K,MATCH(Dados!B183,Aux!I:I,0)))</f>
        <v>Centro</v>
      </c>
      <c r="G183" s="2">
        <v>118765</v>
      </c>
      <c r="H183" s="2">
        <v>0</v>
      </c>
    </row>
    <row r="184" spans="1:8" x14ac:dyDescent="0.3">
      <c r="A184" t="s">
        <v>920</v>
      </c>
      <c r="B184" t="s">
        <v>599</v>
      </c>
      <c r="C184" t="s">
        <v>600</v>
      </c>
      <c r="D184" t="s">
        <v>492</v>
      </c>
      <c r="E184" t="s">
        <v>493</v>
      </c>
      <c r="F184" t="str">
        <f>IFERROR(INDEX(Aux!E:E,MATCH(Dados!E184,Aux!D:D,0)),INDEX(Aux!K:K,MATCH(Dados!B184,Aux!I:I,0)))</f>
        <v>Centro</v>
      </c>
      <c r="G184" s="2">
        <v>118641</v>
      </c>
      <c r="H184" s="2">
        <v>0</v>
      </c>
    </row>
    <row r="185" spans="1:8" x14ac:dyDescent="0.3">
      <c r="A185" t="s">
        <v>925</v>
      </c>
      <c r="B185" t="s">
        <v>440</v>
      </c>
      <c r="C185" t="s">
        <v>441</v>
      </c>
      <c r="D185" t="s">
        <v>28</v>
      </c>
      <c r="E185" t="s">
        <v>29</v>
      </c>
      <c r="F185" t="str">
        <f>IFERROR(INDEX(Aux!E:E,MATCH(Dados!E185,Aux!D:D,0)),INDEX(Aux!K:K,MATCH(Dados!B185,Aux!I:I,0)))</f>
        <v>Centro</v>
      </c>
      <c r="G185" s="2">
        <v>117450</v>
      </c>
      <c r="H185" s="2">
        <v>0</v>
      </c>
    </row>
    <row r="186" spans="1:8" x14ac:dyDescent="0.3">
      <c r="A186" t="s">
        <v>926</v>
      </c>
      <c r="B186" t="s">
        <v>799</v>
      </c>
      <c r="C186" t="s">
        <v>800</v>
      </c>
      <c r="D186" t="s">
        <v>237</v>
      </c>
      <c r="E186" t="s">
        <v>804</v>
      </c>
      <c r="F186" t="str">
        <f>IFERROR(INDEX(Aux!E:E,MATCH(Dados!E186,Aux!D:D,0)),INDEX(Aux!K:K,MATCH(Dados!B186,Aux!I:I,0)))</f>
        <v>Esquerda</v>
      </c>
      <c r="G186" s="2">
        <v>116568</v>
      </c>
      <c r="H186" s="2">
        <v>126399</v>
      </c>
    </row>
    <row r="187" spans="1:8" x14ac:dyDescent="0.3">
      <c r="A187" t="s">
        <v>931</v>
      </c>
      <c r="B187" t="s">
        <v>857</v>
      </c>
      <c r="C187" t="s">
        <v>858</v>
      </c>
      <c r="D187" t="s">
        <v>24</v>
      </c>
      <c r="E187" t="s">
        <v>25</v>
      </c>
      <c r="F187" t="str">
        <f>IFERROR(INDEX(Aux!E:E,MATCH(Dados!E187,Aux!D:D,0)),INDEX(Aux!K:K,MATCH(Dados!B187,Aux!I:I,0)))</f>
        <v>Centro esquerda</v>
      </c>
      <c r="G187" s="2">
        <v>115995</v>
      </c>
      <c r="H187" s="2">
        <v>0</v>
      </c>
    </row>
    <row r="188" spans="1:8" x14ac:dyDescent="0.3">
      <c r="A188" t="s">
        <v>934</v>
      </c>
      <c r="B188" t="s">
        <v>664</v>
      </c>
      <c r="C188" t="s">
        <v>665</v>
      </c>
      <c r="D188" t="s">
        <v>682</v>
      </c>
      <c r="E188" t="s">
        <v>683</v>
      </c>
      <c r="F188" t="str">
        <f>IFERROR(INDEX(Aux!E:E,MATCH(Dados!E188,Aux!D:D,0)),INDEX(Aux!K:K,MATCH(Dados!B188,Aux!I:I,0)))</f>
        <v>Centro direita</v>
      </c>
      <c r="G188" s="2">
        <v>115986</v>
      </c>
      <c r="H188" s="2">
        <v>0</v>
      </c>
    </row>
    <row r="189" spans="1:8" x14ac:dyDescent="0.3">
      <c r="A189" t="s">
        <v>923</v>
      </c>
      <c r="B189" t="s">
        <v>558</v>
      </c>
      <c r="C189" t="s">
        <v>559</v>
      </c>
      <c r="D189" t="s">
        <v>224</v>
      </c>
      <c r="E189" t="s">
        <v>225</v>
      </c>
      <c r="F189" t="str">
        <f>IFERROR(INDEX(Aux!E:E,MATCH(Dados!E189,Aux!D:D,0)),INDEX(Aux!K:K,MATCH(Dados!B189,Aux!I:I,0)))</f>
        <v>Centro</v>
      </c>
      <c r="G189" s="2">
        <v>115488</v>
      </c>
      <c r="H189" s="2">
        <v>0</v>
      </c>
    </row>
    <row r="190" spans="1:8" x14ac:dyDescent="0.3">
      <c r="A190" t="s">
        <v>926</v>
      </c>
      <c r="B190" t="s">
        <v>641</v>
      </c>
      <c r="C190" t="s">
        <v>642</v>
      </c>
      <c r="D190" t="s">
        <v>243</v>
      </c>
      <c r="E190" t="s">
        <v>244</v>
      </c>
      <c r="F190" t="str">
        <f>IFERROR(INDEX(Aux!E:E,MATCH(Dados!E190,Aux!D:D,0)),INDEX(Aux!K:K,MATCH(Dados!B190,Aux!I:I,0)))</f>
        <v>Indefinido</v>
      </c>
      <c r="G190" s="2">
        <v>114686</v>
      </c>
      <c r="H190" s="2">
        <v>0</v>
      </c>
    </row>
    <row r="191" spans="1:8" x14ac:dyDescent="0.3">
      <c r="A191" t="s">
        <v>916</v>
      </c>
      <c r="B191" t="s">
        <v>4</v>
      </c>
      <c r="C191" t="s">
        <v>5</v>
      </c>
      <c r="D191" t="s">
        <v>76</v>
      </c>
      <c r="E191" t="s">
        <v>77</v>
      </c>
      <c r="F191" t="str">
        <f>IFERROR(INDEX(Aux!E:E,MATCH(Dados!E191,Aux!D:D,0)),INDEX(Aux!K:K,MATCH(Dados!B191,Aux!I:I,0)))</f>
        <v>Indefinido</v>
      </c>
      <c r="G191" s="2">
        <v>114658</v>
      </c>
      <c r="H191" s="2">
        <v>0</v>
      </c>
    </row>
    <row r="192" spans="1:8" x14ac:dyDescent="0.3">
      <c r="A192" t="s">
        <v>925</v>
      </c>
      <c r="B192" t="s">
        <v>206</v>
      </c>
      <c r="C192" t="s">
        <v>207</v>
      </c>
      <c r="D192" t="s">
        <v>139</v>
      </c>
      <c r="E192" t="s">
        <v>140</v>
      </c>
      <c r="F192" t="str">
        <f>IFERROR(INDEX(Aux!E:E,MATCH(Dados!E192,Aux!D:D,0)),INDEX(Aux!K:K,MATCH(Dados!B192,Aux!I:I,0)))</f>
        <v>Direita</v>
      </c>
      <c r="G192" s="2">
        <v>113725</v>
      </c>
      <c r="H192" s="2">
        <v>0</v>
      </c>
    </row>
    <row r="193" spans="1:8" x14ac:dyDescent="0.3">
      <c r="A193" t="s">
        <v>933</v>
      </c>
      <c r="B193" t="s">
        <v>831</v>
      </c>
      <c r="C193" t="s">
        <v>832</v>
      </c>
      <c r="D193" t="s">
        <v>398</v>
      </c>
      <c r="E193" t="s">
        <v>399</v>
      </c>
      <c r="F193" t="str">
        <f>IFERROR(INDEX(Aux!E:E,MATCH(Dados!E193,Aux!D:D,0)),INDEX(Aux!K:K,MATCH(Dados!B193,Aux!I:I,0)))</f>
        <v>Indefinido</v>
      </c>
      <c r="G193" s="2">
        <v>113347</v>
      </c>
      <c r="H193" s="2">
        <v>0</v>
      </c>
    </row>
    <row r="194" spans="1:8" x14ac:dyDescent="0.3">
      <c r="A194" t="s">
        <v>916</v>
      </c>
      <c r="B194" t="s">
        <v>737</v>
      </c>
      <c r="C194" t="s">
        <v>738</v>
      </c>
      <c r="D194" t="s">
        <v>200</v>
      </c>
      <c r="E194" t="s">
        <v>201</v>
      </c>
      <c r="F194" t="str">
        <f>IFERROR(INDEX(Aux!E:E,MATCH(Dados!E194,Aux!D:D,0)),INDEX(Aux!K:K,MATCH(Dados!B194,Aux!I:I,0)))</f>
        <v>Direita</v>
      </c>
      <c r="G194" s="2">
        <v>112612</v>
      </c>
      <c r="H194" s="2">
        <v>215679</v>
      </c>
    </row>
    <row r="195" spans="1:8" x14ac:dyDescent="0.3">
      <c r="A195" t="s">
        <v>930</v>
      </c>
      <c r="B195" t="s">
        <v>799</v>
      </c>
      <c r="C195" t="s">
        <v>800</v>
      </c>
      <c r="D195" t="s">
        <v>228</v>
      </c>
      <c r="E195" t="s">
        <v>229</v>
      </c>
      <c r="F195" t="str">
        <f>IFERROR(INDEX(Aux!E:E,MATCH(Dados!E195,Aux!D:D,0)),INDEX(Aux!K:K,MATCH(Dados!B195,Aux!I:I,0)))</f>
        <v>Indefinido</v>
      </c>
      <c r="G195" s="2">
        <v>112107</v>
      </c>
      <c r="H195" s="2">
        <v>0</v>
      </c>
    </row>
    <row r="196" spans="1:8" x14ac:dyDescent="0.3">
      <c r="A196" t="s">
        <v>924</v>
      </c>
      <c r="B196" t="s">
        <v>817</v>
      </c>
      <c r="C196" t="s">
        <v>818</v>
      </c>
      <c r="D196" t="s">
        <v>450</v>
      </c>
      <c r="E196" t="s">
        <v>451</v>
      </c>
      <c r="F196" t="str">
        <f>IFERROR(INDEX(Aux!E:E,MATCH(Dados!E196,Aux!D:D,0)),INDEX(Aux!K:K,MATCH(Dados!B196,Aux!I:I,0)))</f>
        <v>Centro</v>
      </c>
      <c r="G196" s="2">
        <v>111672</v>
      </c>
      <c r="H196" s="2">
        <v>0</v>
      </c>
    </row>
    <row r="197" spans="1:8" x14ac:dyDescent="0.3">
      <c r="A197" t="s">
        <v>924</v>
      </c>
      <c r="B197" t="s">
        <v>599</v>
      </c>
      <c r="C197" t="s">
        <v>600</v>
      </c>
      <c r="D197" t="s">
        <v>450</v>
      </c>
      <c r="E197" t="s">
        <v>451</v>
      </c>
      <c r="F197" t="str">
        <f>IFERROR(INDEX(Aux!E:E,MATCH(Dados!E197,Aux!D:D,0)),INDEX(Aux!K:K,MATCH(Dados!B197,Aux!I:I,0)))</f>
        <v>Centro</v>
      </c>
      <c r="G197" s="2">
        <v>110804</v>
      </c>
      <c r="H197" s="2">
        <v>0</v>
      </c>
    </row>
    <row r="198" spans="1:8" x14ac:dyDescent="0.3">
      <c r="A198" t="s">
        <v>925</v>
      </c>
      <c r="B198" t="s">
        <v>893</v>
      </c>
      <c r="C198" t="s">
        <v>894</v>
      </c>
      <c r="D198" t="s">
        <v>28</v>
      </c>
      <c r="E198" t="s">
        <v>29</v>
      </c>
      <c r="F198" t="str">
        <f>IFERROR(INDEX(Aux!E:E,MATCH(Dados!E198,Aux!D:D,0)),INDEX(Aux!K:K,MATCH(Dados!B198,Aux!I:I,0)))</f>
        <v>Centro</v>
      </c>
      <c r="G198" s="2">
        <v>109949</v>
      </c>
      <c r="H198" s="2">
        <v>0</v>
      </c>
    </row>
    <row r="199" spans="1:8" x14ac:dyDescent="0.3">
      <c r="A199" t="s">
        <v>926</v>
      </c>
      <c r="B199" t="s">
        <v>206</v>
      </c>
      <c r="C199" t="s">
        <v>207</v>
      </c>
      <c r="D199" t="s">
        <v>243</v>
      </c>
      <c r="E199" t="s">
        <v>244</v>
      </c>
      <c r="F199" t="str">
        <f>IFERROR(INDEX(Aux!E:E,MATCH(Dados!E199,Aux!D:D,0)),INDEX(Aux!K:K,MATCH(Dados!B199,Aux!I:I,0)))</f>
        <v>Indefinido</v>
      </c>
      <c r="G199" s="2">
        <v>109707</v>
      </c>
      <c r="H199" s="2">
        <v>0</v>
      </c>
    </row>
    <row r="200" spans="1:8" x14ac:dyDescent="0.3">
      <c r="A200" t="s">
        <v>930</v>
      </c>
      <c r="B200" t="s">
        <v>857</v>
      </c>
      <c r="C200" t="s">
        <v>858</v>
      </c>
      <c r="D200" t="s">
        <v>290</v>
      </c>
      <c r="E200" t="s">
        <v>291</v>
      </c>
      <c r="F200" t="str">
        <f>IFERROR(INDEX(Aux!E:E,MATCH(Dados!E200,Aux!D:D,0)),INDEX(Aux!K:K,MATCH(Dados!B200,Aux!I:I,0)))</f>
        <v>Centro</v>
      </c>
      <c r="G200" s="2">
        <v>108935</v>
      </c>
      <c r="H200" s="2">
        <v>0</v>
      </c>
    </row>
    <row r="201" spans="1:8" x14ac:dyDescent="0.3">
      <c r="A201" t="s">
        <v>928</v>
      </c>
      <c r="B201" t="s">
        <v>770</v>
      </c>
      <c r="C201" t="s">
        <v>771</v>
      </c>
      <c r="D201" t="s">
        <v>712</v>
      </c>
      <c r="E201" t="s">
        <v>713</v>
      </c>
      <c r="F201" t="str">
        <f>IFERROR(INDEX(Aux!E:E,MATCH(Dados!E201,Aux!D:D,0)),INDEX(Aux!K:K,MATCH(Dados!B201,Aux!I:I,0)))</f>
        <v>Esquerda</v>
      </c>
      <c r="G201" s="2">
        <v>108932</v>
      </c>
      <c r="H201" s="2">
        <v>0</v>
      </c>
    </row>
    <row r="202" spans="1:8" x14ac:dyDescent="0.3">
      <c r="A202" t="s">
        <v>925</v>
      </c>
      <c r="B202" t="s">
        <v>558</v>
      </c>
      <c r="C202" t="s">
        <v>559</v>
      </c>
      <c r="D202" t="s">
        <v>560</v>
      </c>
      <c r="E202" t="s">
        <v>561</v>
      </c>
      <c r="F202" t="str">
        <f>IFERROR(INDEX(Aux!E:E,MATCH(Dados!E202,Aux!D:D,0)),INDEX(Aux!K:K,MATCH(Dados!B202,Aux!I:I,0)))</f>
        <v>Direita</v>
      </c>
      <c r="G202" s="2">
        <v>108768</v>
      </c>
      <c r="H202" s="2">
        <v>0</v>
      </c>
    </row>
    <row r="203" spans="1:8" x14ac:dyDescent="0.3">
      <c r="A203" t="s">
        <v>925</v>
      </c>
      <c r="B203" t="s">
        <v>488</v>
      </c>
      <c r="C203" t="s">
        <v>489</v>
      </c>
      <c r="D203" t="s">
        <v>28</v>
      </c>
      <c r="E203" t="s">
        <v>29</v>
      </c>
      <c r="F203" t="str">
        <f>IFERROR(INDEX(Aux!E:E,MATCH(Dados!E203,Aux!D:D,0)),INDEX(Aux!K:K,MATCH(Dados!B203,Aux!I:I,0)))</f>
        <v>Centro</v>
      </c>
      <c r="G203" s="2">
        <v>108655</v>
      </c>
      <c r="H203" s="2">
        <v>0</v>
      </c>
    </row>
    <row r="204" spans="1:8" x14ac:dyDescent="0.3">
      <c r="A204" t="s">
        <v>927</v>
      </c>
      <c r="B204" t="s">
        <v>893</v>
      </c>
      <c r="C204" t="s">
        <v>894</v>
      </c>
      <c r="D204" t="s">
        <v>304</v>
      </c>
      <c r="E204" t="s">
        <v>305</v>
      </c>
      <c r="F204" t="str">
        <f>IFERROR(INDEX(Aux!E:E,MATCH(Dados!E204,Aux!D:D,0)),INDEX(Aux!K:K,MATCH(Dados!B204,Aux!I:I,0)))</f>
        <v>Indefinido</v>
      </c>
      <c r="G204" s="2">
        <v>107116</v>
      </c>
      <c r="H204" s="2">
        <v>0</v>
      </c>
    </row>
    <row r="205" spans="1:8" x14ac:dyDescent="0.3">
      <c r="A205" t="s">
        <v>926</v>
      </c>
      <c r="B205" t="s">
        <v>716</v>
      </c>
      <c r="C205" t="s">
        <v>717</v>
      </c>
      <c r="D205" t="s">
        <v>735</v>
      </c>
      <c r="E205" t="s">
        <v>736</v>
      </c>
      <c r="F205" t="str">
        <f>IFERROR(INDEX(Aux!E:E,MATCH(Dados!E205,Aux!D:D,0)),INDEX(Aux!K:K,MATCH(Dados!B205,Aux!I:I,0)))</f>
        <v>Centro</v>
      </c>
      <c r="G205" s="2">
        <v>106014</v>
      </c>
      <c r="H205" s="2">
        <v>0</v>
      </c>
    </row>
    <row r="206" spans="1:8" x14ac:dyDescent="0.3">
      <c r="A206" t="s">
        <v>932</v>
      </c>
      <c r="B206" t="s">
        <v>756</v>
      </c>
      <c r="C206" t="s">
        <v>757</v>
      </c>
      <c r="D206" t="s">
        <v>255</v>
      </c>
      <c r="E206" t="s">
        <v>256</v>
      </c>
      <c r="F206" t="str">
        <f>IFERROR(INDEX(Aux!E:E,MATCH(Dados!E206,Aux!D:D,0)),INDEX(Aux!K:K,MATCH(Dados!B206,Aux!I:I,0)))</f>
        <v>Centro esquerda</v>
      </c>
      <c r="G206" s="2">
        <v>105482</v>
      </c>
      <c r="H206" s="2">
        <v>0</v>
      </c>
    </row>
    <row r="207" spans="1:8" x14ac:dyDescent="0.3">
      <c r="A207" t="s">
        <v>927</v>
      </c>
      <c r="B207" t="s">
        <v>599</v>
      </c>
      <c r="C207" t="s">
        <v>600</v>
      </c>
      <c r="D207" t="s">
        <v>304</v>
      </c>
      <c r="E207" t="s">
        <v>305</v>
      </c>
      <c r="F207" t="str">
        <f>IFERROR(INDEX(Aux!E:E,MATCH(Dados!E207,Aux!D:D,0)),INDEX(Aux!K:K,MATCH(Dados!B207,Aux!I:I,0)))</f>
        <v>Indefinido</v>
      </c>
      <c r="G207" s="2">
        <v>103441</v>
      </c>
      <c r="H207" s="2">
        <v>0</v>
      </c>
    </row>
    <row r="208" spans="1:8" x14ac:dyDescent="0.3">
      <c r="A208" t="s">
        <v>925</v>
      </c>
      <c r="B208" t="s">
        <v>334</v>
      </c>
      <c r="C208" t="s">
        <v>335</v>
      </c>
      <c r="D208" t="s">
        <v>342</v>
      </c>
      <c r="E208" t="s">
        <v>341</v>
      </c>
      <c r="F208" t="str">
        <f>IFERROR(INDEX(Aux!E:E,MATCH(Dados!E208,Aux!D:D,0)),INDEX(Aux!K:K,MATCH(Dados!B208,Aux!I:I,0)))</f>
        <v>Centro</v>
      </c>
      <c r="G208" s="2">
        <v>103261</v>
      </c>
      <c r="H208" s="2">
        <v>0</v>
      </c>
    </row>
    <row r="209" spans="1:8" x14ac:dyDescent="0.3">
      <c r="A209" t="s">
        <v>925</v>
      </c>
      <c r="B209" t="s">
        <v>716</v>
      </c>
      <c r="C209" t="s">
        <v>717</v>
      </c>
      <c r="D209" t="s">
        <v>28</v>
      </c>
      <c r="E209" t="s">
        <v>29</v>
      </c>
      <c r="F209" t="str">
        <f>IFERROR(INDEX(Aux!E:E,MATCH(Dados!E209,Aux!D:D,0)),INDEX(Aux!K:K,MATCH(Dados!B209,Aux!I:I,0)))</f>
        <v>Centro</v>
      </c>
      <c r="G209" s="2">
        <v>103244</v>
      </c>
      <c r="H209" s="2">
        <v>0</v>
      </c>
    </row>
    <row r="210" spans="1:8" x14ac:dyDescent="0.3">
      <c r="A210" t="s">
        <v>935</v>
      </c>
      <c r="B210" t="s">
        <v>599</v>
      </c>
      <c r="C210" t="s">
        <v>600</v>
      </c>
      <c r="D210" t="s">
        <v>631</v>
      </c>
      <c r="E210" t="s">
        <v>632</v>
      </c>
      <c r="F210" t="str">
        <f>IFERROR(INDEX(Aux!E:E,MATCH(Dados!E210,Aux!D:D,0)),INDEX(Aux!K:K,MATCH(Dados!B210,Aux!I:I,0)))</f>
        <v>Direita</v>
      </c>
      <c r="G210" s="2">
        <v>102899</v>
      </c>
      <c r="H210" s="2">
        <v>136476</v>
      </c>
    </row>
    <row r="211" spans="1:8" x14ac:dyDescent="0.3">
      <c r="A211" t="s">
        <v>929</v>
      </c>
      <c r="B211" t="s">
        <v>4</v>
      </c>
      <c r="C211" t="s">
        <v>5</v>
      </c>
      <c r="D211" t="s">
        <v>84</v>
      </c>
      <c r="E211" t="s">
        <v>85</v>
      </c>
      <c r="F211" t="str">
        <f>IFERROR(INDEX(Aux!E:E,MATCH(Dados!E211,Aux!D:D,0)),INDEX(Aux!K:K,MATCH(Dados!B211,Aux!I:I,0)))</f>
        <v>Direita</v>
      </c>
      <c r="G211" s="2">
        <v>102667</v>
      </c>
      <c r="H211" s="2">
        <v>0</v>
      </c>
    </row>
    <row r="212" spans="1:8" x14ac:dyDescent="0.3">
      <c r="A212" t="s">
        <v>918</v>
      </c>
      <c r="B212" t="s">
        <v>716</v>
      </c>
      <c r="C212" t="s">
        <v>717</v>
      </c>
      <c r="D212" t="s">
        <v>80</v>
      </c>
      <c r="E212" t="s">
        <v>81</v>
      </c>
      <c r="F212" t="str">
        <f>IFERROR(INDEX(Aux!E:E,MATCH(Dados!E212,Aux!D:D,0)),INDEX(Aux!K:K,MATCH(Dados!B212,Aux!I:I,0)))</f>
        <v>Centro</v>
      </c>
      <c r="G212" s="2">
        <v>101089</v>
      </c>
      <c r="H212" s="2">
        <v>102109</v>
      </c>
    </row>
    <row r="213" spans="1:8" x14ac:dyDescent="0.3">
      <c r="A213" t="s">
        <v>930</v>
      </c>
      <c r="B213" t="s">
        <v>817</v>
      </c>
      <c r="C213" t="s">
        <v>818</v>
      </c>
      <c r="D213" t="s">
        <v>228</v>
      </c>
      <c r="E213" t="s">
        <v>229</v>
      </c>
      <c r="F213" t="str">
        <f>IFERROR(INDEX(Aux!E:E,MATCH(Dados!E213,Aux!D:D,0)),INDEX(Aux!K:K,MATCH(Dados!B213,Aux!I:I,0)))</f>
        <v>Indefinido</v>
      </c>
      <c r="G213" s="2">
        <v>100876</v>
      </c>
      <c r="H213" s="2">
        <v>0</v>
      </c>
    </row>
    <row r="214" spans="1:8" x14ac:dyDescent="0.3">
      <c r="A214" t="s">
        <v>915</v>
      </c>
      <c r="B214" t="s">
        <v>641</v>
      </c>
      <c r="C214" t="s">
        <v>642</v>
      </c>
      <c r="D214" t="s">
        <v>472</v>
      </c>
      <c r="E214" t="s">
        <v>473</v>
      </c>
      <c r="F214" t="str">
        <f>IFERROR(INDEX(Aux!E:E,MATCH(Dados!E214,Aux!D:D,0)),INDEX(Aux!K:K,MATCH(Dados!B214,Aux!I:I,0)))</f>
        <v>Esquerda</v>
      </c>
      <c r="G214" s="2">
        <v>99941</v>
      </c>
      <c r="H214" s="2">
        <v>0</v>
      </c>
    </row>
    <row r="215" spans="1:8" x14ac:dyDescent="0.3">
      <c r="A215" t="s">
        <v>916</v>
      </c>
      <c r="B215" t="s">
        <v>770</v>
      </c>
      <c r="C215" t="s">
        <v>771</v>
      </c>
      <c r="D215" t="s">
        <v>76</v>
      </c>
      <c r="E215" t="s">
        <v>77</v>
      </c>
      <c r="F215" t="str">
        <f>IFERROR(INDEX(Aux!E:E,MATCH(Dados!E215,Aux!D:D,0)),INDEX(Aux!K:K,MATCH(Dados!B215,Aux!I:I,0)))</f>
        <v>Indefinido</v>
      </c>
      <c r="G215" s="2">
        <v>99272</v>
      </c>
      <c r="H215" s="2">
        <v>0</v>
      </c>
    </row>
    <row r="216" spans="1:8" x14ac:dyDescent="0.3">
      <c r="A216" t="s">
        <v>933</v>
      </c>
      <c r="B216" t="s">
        <v>857</v>
      </c>
      <c r="C216" t="s">
        <v>858</v>
      </c>
      <c r="D216" t="s">
        <v>214</v>
      </c>
      <c r="E216" t="s">
        <v>215</v>
      </c>
      <c r="F216" t="str">
        <f>IFERROR(INDEX(Aux!E:E,MATCH(Dados!E216,Aux!D:D,0)),INDEX(Aux!K:K,MATCH(Dados!B216,Aux!I:I,0)))</f>
        <v>Centro</v>
      </c>
      <c r="G216" s="2">
        <v>98201</v>
      </c>
      <c r="H216" s="2">
        <v>0</v>
      </c>
    </row>
    <row r="217" spans="1:8" x14ac:dyDescent="0.3">
      <c r="A217" t="s">
        <v>936</v>
      </c>
      <c r="B217" t="s">
        <v>893</v>
      </c>
      <c r="C217" t="s">
        <v>894</v>
      </c>
      <c r="D217" t="s">
        <v>60</v>
      </c>
      <c r="E217" t="s">
        <v>61</v>
      </c>
      <c r="F217" t="str">
        <f>IFERROR(INDEX(Aux!E:E,MATCH(Dados!E217,Aux!D:D,0)),INDEX(Aux!K:K,MATCH(Dados!B217,Aux!I:I,0)))</f>
        <v>Centro</v>
      </c>
      <c r="G217" s="2">
        <v>96020</v>
      </c>
      <c r="H217" s="2">
        <v>0</v>
      </c>
    </row>
    <row r="218" spans="1:8" x14ac:dyDescent="0.3">
      <c r="A218" t="s">
        <v>928</v>
      </c>
      <c r="B218" t="s">
        <v>857</v>
      </c>
      <c r="C218" t="s">
        <v>858</v>
      </c>
      <c r="D218" t="s">
        <v>595</v>
      </c>
      <c r="E218" t="s">
        <v>596</v>
      </c>
      <c r="F218" t="str">
        <f>IFERROR(INDEX(Aux!E:E,MATCH(Dados!E218,Aux!D:D,0)),INDEX(Aux!K:K,MATCH(Dados!B218,Aux!I:I,0)))</f>
        <v>Centro direita</v>
      </c>
      <c r="G218" s="2">
        <v>95095</v>
      </c>
      <c r="H218" s="2">
        <v>16655</v>
      </c>
    </row>
    <row r="219" spans="1:8" x14ac:dyDescent="0.3">
      <c r="A219" t="s">
        <v>929</v>
      </c>
      <c r="B219" t="s">
        <v>857</v>
      </c>
      <c r="C219" t="s">
        <v>858</v>
      </c>
      <c r="D219" t="s">
        <v>426</v>
      </c>
      <c r="E219" t="s">
        <v>427</v>
      </c>
      <c r="F219" t="str">
        <f>IFERROR(INDEX(Aux!E:E,MATCH(Dados!E219,Aux!D:D,0)),INDEX(Aux!K:K,MATCH(Dados!B219,Aux!I:I,0)))</f>
        <v>Centro</v>
      </c>
      <c r="G219" s="2">
        <v>93505</v>
      </c>
      <c r="H219" s="2">
        <v>0</v>
      </c>
    </row>
    <row r="220" spans="1:8" x14ac:dyDescent="0.3">
      <c r="A220" t="s">
        <v>926</v>
      </c>
      <c r="B220" t="s">
        <v>440</v>
      </c>
      <c r="C220" t="s">
        <v>441</v>
      </c>
      <c r="D220" t="s">
        <v>32</v>
      </c>
      <c r="E220" t="s">
        <v>33</v>
      </c>
      <c r="F220" t="str">
        <f>IFERROR(INDEX(Aux!E:E,MATCH(Dados!E220,Aux!D:D,0)),INDEX(Aux!K:K,MATCH(Dados!B220,Aux!I:I,0)))</f>
        <v>Esquerda</v>
      </c>
      <c r="G220" s="2">
        <v>93025</v>
      </c>
      <c r="H220" s="2">
        <v>0</v>
      </c>
    </row>
    <row r="221" spans="1:8" x14ac:dyDescent="0.3">
      <c r="A221" t="s">
        <v>929</v>
      </c>
      <c r="B221" t="s">
        <v>875</v>
      </c>
      <c r="C221" t="s">
        <v>876</v>
      </c>
      <c r="D221" t="s">
        <v>226</v>
      </c>
      <c r="E221" t="s">
        <v>227</v>
      </c>
      <c r="F221" t="str">
        <f>IFERROR(INDEX(Aux!E:E,MATCH(Dados!E221,Aux!D:D,0)),INDEX(Aux!K:K,MATCH(Dados!B221,Aux!I:I,0)))</f>
        <v>Indefinido</v>
      </c>
      <c r="G221" s="2">
        <v>92432</v>
      </c>
      <c r="H221" s="2">
        <v>0</v>
      </c>
    </row>
    <row r="222" spans="1:8" x14ac:dyDescent="0.3">
      <c r="A222" t="s">
        <v>923</v>
      </c>
      <c r="B222" t="s">
        <v>817</v>
      </c>
      <c r="C222" t="s">
        <v>818</v>
      </c>
      <c r="D222" t="s">
        <v>34</v>
      </c>
      <c r="E222" t="s">
        <v>35</v>
      </c>
      <c r="F222" t="str">
        <f>IFERROR(INDEX(Aux!E:E,MATCH(Dados!E222,Aux!D:D,0)),INDEX(Aux!K:K,MATCH(Dados!B222,Aux!I:I,0)))</f>
        <v>Indefinido</v>
      </c>
      <c r="G222" s="2">
        <v>91451</v>
      </c>
      <c r="H222" s="2">
        <v>0</v>
      </c>
    </row>
    <row r="223" spans="1:8" x14ac:dyDescent="0.3">
      <c r="A223" t="s">
        <v>932</v>
      </c>
      <c r="B223" t="s">
        <v>690</v>
      </c>
      <c r="C223" t="s">
        <v>691</v>
      </c>
      <c r="D223" t="s">
        <v>255</v>
      </c>
      <c r="E223" t="s">
        <v>256</v>
      </c>
      <c r="F223" t="str">
        <f>IFERROR(INDEX(Aux!E:E,MATCH(Dados!E223,Aux!D:D,0)),INDEX(Aux!K:K,MATCH(Dados!B223,Aux!I:I,0)))</f>
        <v>Centro esquerda</v>
      </c>
      <c r="G223" s="2">
        <v>91221</v>
      </c>
      <c r="H223" s="2">
        <v>0</v>
      </c>
    </row>
    <row r="224" spans="1:8" x14ac:dyDescent="0.3">
      <c r="A224" t="s">
        <v>930</v>
      </c>
      <c r="B224" t="s">
        <v>641</v>
      </c>
      <c r="C224" t="s">
        <v>642</v>
      </c>
      <c r="D224" t="s">
        <v>20</v>
      </c>
      <c r="E224" t="s">
        <v>21</v>
      </c>
      <c r="F224" t="str">
        <f>IFERROR(INDEX(Aux!E:E,MATCH(Dados!E224,Aux!D:D,0)),INDEX(Aux!K:K,MATCH(Dados!B224,Aux!I:I,0)))</f>
        <v>Centro direita</v>
      </c>
      <c r="G224" s="2">
        <v>91210</v>
      </c>
      <c r="H224" s="2">
        <v>0</v>
      </c>
    </row>
    <row r="225" spans="1:8" x14ac:dyDescent="0.3">
      <c r="A225" t="s">
        <v>921</v>
      </c>
      <c r="B225" t="s">
        <v>770</v>
      </c>
      <c r="C225" t="s">
        <v>771</v>
      </c>
      <c r="D225" t="s">
        <v>442</v>
      </c>
      <c r="E225" t="s">
        <v>443</v>
      </c>
      <c r="F225" t="str">
        <f>IFERROR(INDEX(Aux!E:E,MATCH(Dados!E225,Aux!D:D,0)),INDEX(Aux!K:K,MATCH(Dados!B225,Aux!I:I,0)))</f>
        <v>Direita</v>
      </c>
      <c r="G225" s="2">
        <v>90858</v>
      </c>
      <c r="H225" s="2">
        <v>0</v>
      </c>
    </row>
    <row r="226" spans="1:8" x14ac:dyDescent="0.3">
      <c r="A226" t="s">
        <v>933</v>
      </c>
      <c r="B226" t="s">
        <v>440</v>
      </c>
      <c r="C226" t="s">
        <v>441</v>
      </c>
      <c r="D226" t="s">
        <v>214</v>
      </c>
      <c r="E226" t="s">
        <v>215</v>
      </c>
      <c r="F226" t="str">
        <f>IFERROR(INDEX(Aux!E:E,MATCH(Dados!E226,Aux!D:D,0)),INDEX(Aux!K:K,MATCH(Dados!B226,Aux!I:I,0)))</f>
        <v>Centro</v>
      </c>
      <c r="G226" s="2">
        <v>90843</v>
      </c>
      <c r="H226" s="2">
        <v>0</v>
      </c>
    </row>
    <row r="227" spans="1:8" x14ac:dyDescent="0.3">
      <c r="A227" t="s">
        <v>919</v>
      </c>
      <c r="B227" t="s">
        <v>440</v>
      </c>
      <c r="C227" t="s">
        <v>441</v>
      </c>
      <c r="D227" t="s">
        <v>463</v>
      </c>
      <c r="E227" t="s">
        <v>460</v>
      </c>
      <c r="F227" t="str">
        <f>IFERROR(INDEX(Aux!E:E,MATCH(Dados!E227,Aux!D:D,0)),INDEX(Aux!K:K,MATCH(Dados!B227,Aux!I:I,0)))</f>
        <v>Indefinido</v>
      </c>
      <c r="G227" s="2">
        <v>90249</v>
      </c>
      <c r="H227" s="2">
        <v>0</v>
      </c>
    </row>
    <row r="228" spans="1:8" x14ac:dyDescent="0.3">
      <c r="A228" t="s">
        <v>932</v>
      </c>
      <c r="B228" t="s">
        <v>206</v>
      </c>
      <c r="C228" t="s">
        <v>207</v>
      </c>
      <c r="D228" t="s">
        <v>255</v>
      </c>
      <c r="E228" t="s">
        <v>256</v>
      </c>
      <c r="F228" t="str">
        <f>IFERROR(INDEX(Aux!E:E,MATCH(Dados!E228,Aux!D:D,0)),INDEX(Aux!K:K,MATCH(Dados!B228,Aux!I:I,0)))</f>
        <v>Centro esquerda</v>
      </c>
      <c r="G228" s="2">
        <v>89966</v>
      </c>
      <c r="H228" s="2">
        <v>0</v>
      </c>
    </row>
    <row r="229" spans="1:8" x14ac:dyDescent="0.3">
      <c r="A229" t="s">
        <v>924</v>
      </c>
      <c r="B229" t="s">
        <v>875</v>
      </c>
      <c r="C229" t="s">
        <v>876</v>
      </c>
      <c r="D229" t="s">
        <v>450</v>
      </c>
      <c r="E229" t="s">
        <v>451</v>
      </c>
      <c r="F229" t="str">
        <f>IFERROR(INDEX(Aux!E:E,MATCH(Dados!E229,Aux!D:D,0)),INDEX(Aux!K:K,MATCH(Dados!B229,Aux!I:I,0)))</f>
        <v>Centro</v>
      </c>
      <c r="G229" s="2">
        <v>89628</v>
      </c>
      <c r="H229" s="2">
        <v>0</v>
      </c>
    </row>
    <row r="230" spans="1:8" x14ac:dyDescent="0.3">
      <c r="A230" t="s">
        <v>923</v>
      </c>
      <c r="B230" t="s">
        <v>641</v>
      </c>
      <c r="C230" t="s">
        <v>642</v>
      </c>
      <c r="D230" t="s">
        <v>224</v>
      </c>
      <c r="E230" t="s">
        <v>225</v>
      </c>
      <c r="F230" t="str">
        <f>IFERROR(INDEX(Aux!E:E,MATCH(Dados!E230,Aux!D:D,0)),INDEX(Aux!K:K,MATCH(Dados!B230,Aux!I:I,0)))</f>
        <v>Centro</v>
      </c>
      <c r="G230" s="2">
        <v>89474</v>
      </c>
      <c r="H230" s="2">
        <v>0</v>
      </c>
    </row>
    <row r="231" spans="1:8" x14ac:dyDescent="0.3">
      <c r="A231" t="s">
        <v>926</v>
      </c>
      <c r="B231" t="s">
        <v>857</v>
      </c>
      <c r="C231" t="s">
        <v>858</v>
      </c>
      <c r="D231" t="s">
        <v>32</v>
      </c>
      <c r="E231" t="s">
        <v>33</v>
      </c>
      <c r="F231" t="str">
        <f>IFERROR(INDEX(Aux!E:E,MATCH(Dados!E231,Aux!D:D,0)),INDEX(Aux!K:K,MATCH(Dados!B231,Aux!I:I,0)))</f>
        <v>Esquerda</v>
      </c>
      <c r="G231" s="2">
        <v>88894</v>
      </c>
      <c r="H231" s="2">
        <v>0</v>
      </c>
    </row>
    <row r="232" spans="1:8" x14ac:dyDescent="0.3">
      <c r="A232" t="s">
        <v>917</v>
      </c>
      <c r="B232" t="s">
        <v>783</v>
      </c>
      <c r="C232" t="s">
        <v>784</v>
      </c>
      <c r="D232" t="s">
        <v>98</v>
      </c>
      <c r="E232" t="s">
        <v>99</v>
      </c>
      <c r="F232" t="str">
        <f>IFERROR(INDEX(Aux!E:E,MATCH(Dados!E232,Aux!D:D,0)),INDEX(Aux!K:K,MATCH(Dados!B232,Aux!I:I,0)))</f>
        <v>Esquerda</v>
      </c>
      <c r="G232" s="2">
        <v>88701</v>
      </c>
      <c r="H232" s="2">
        <v>0</v>
      </c>
    </row>
    <row r="233" spans="1:8" x14ac:dyDescent="0.3">
      <c r="A233" t="s">
        <v>920</v>
      </c>
      <c r="B233" t="s">
        <v>875</v>
      </c>
      <c r="C233" t="s">
        <v>876</v>
      </c>
      <c r="D233" t="s">
        <v>492</v>
      </c>
      <c r="E233" t="s">
        <v>493</v>
      </c>
      <c r="F233" t="str">
        <f>IFERROR(INDEX(Aux!E:E,MATCH(Dados!E233,Aux!D:D,0)),INDEX(Aux!K:K,MATCH(Dados!B233,Aux!I:I,0)))</f>
        <v>Centro</v>
      </c>
      <c r="G233" s="2">
        <v>87616</v>
      </c>
      <c r="H233" s="2">
        <v>0</v>
      </c>
    </row>
    <row r="234" spans="1:8" x14ac:dyDescent="0.3">
      <c r="A234" t="s">
        <v>925</v>
      </c>
      <c r="B234" t="s">
        <v>282</v>
      </c>
      <c r="C234" t="s">
        <v>283</v>
      </c>
      <c r="D234" t="s">
        <v>298</v>
      </c>
      <c r="E234" t="s">
        <v>299</v>
      </c>
      <c r="F234" t="str">
        <f>IFERROR(INDEX(Aux!E:E,MATCH(Dados!E234,Aux!D:D,0)),INDEX(Aux!K:K,MATCH(Dados!B234,Aux!I:I,0)))</f>
        <v>Direita</v>
      </c>
      <c r="G234" s="2">
        <v>87311</v>
      </c>
      <c r="H234" s="2">
        <v>0</v>
      </c>
    </row>
    <row r="235" spans="1:8" x14ac:dyDescent="0.3">
      <c r="A235" t="s">
        <v>930</v>
      </c>
      <c r="B235" t="s">
        <v>440</v>
      </c>
      <c r="C235" t="s">
        <v>441</v>
      </c>
      <c r="D235" t="s">
        <v>228</v>
      </c>
      <c r="E235" t="s">
        <v>229</v>
      </c>
      <c r="F235" t="str">
        <f>IFERROR(INDEX(Aux!E:E,MATCH(Dados!E235,Aux!D:D,0)),INDEX(Aux!K:K,MATCH(Dados!B235,Aux!I:I,0)))</f>
        <v>Indefinido</v>
      </c>
      <c r="G235" s="2">
        <v>86660</v>
      </c>
      <c r="H235" s="2">
        <v>0</v>
      </c>
    </row>
    <row r="236" spans="1:8" x14ac:dyDescent="0.3">
      <c r="A236" t="s">
        <v>937</v>
      </c>
      <c r="B236" t="s">
        <v>558</v>
      </c>
      <c r="C236" t="s">
        <v>559</v>
      </c>
      <c r="D236" t="s">
        <v>100</v>
      </c>
      <c r="E236" t="s">
        <v>558</v>
      </c>
      <c r="F236" t="str">
        <f>IFERROR(INDEX(Aux!E:E,MATCH(Dados!E236,Aux!D:D,0)),INDEX(Aux!K:K,MATCH(Dados!B236,Aux!I:I,0)))</f>
        <v>Direita</v>
      </c>
      <c r="G236" s="2">
        <v>85173</v>
      </c>
      <c r="H236" s="2">
        <v>30252</v>
      </c>
    </row>
    <row r="237" spans="1:8" x14ac:dyDescent="0.3">
      <c r="A237" t="s">
        <v>935</v>
      </c>
      <c r="B237" t="s">
        <v>875</v>
      </c>
      <c r="C237" t="s">
        <v>876</v>
      </c>
      <c r="D237" t="s">
        <v>631</v>
      </c>
      <c r="E237" t="s">
        <v>632</v>
      </c>
      <c r="F237" t="str">
        <f>IFERROR(INDEX(Aux!E:E,MATCH(Dados!E237,Aux!D:D,0)),INDEX(Aux!K:K,MATCH(Dados!B237,Aux!I:I,0)))</f>
        <v>Direita</v>
      </c>
      <c r="G237" s="2">
        <v>84420</v>
      </c>
      <c r="H237" s="2">
        <v>86470</v>
      </c>
    </row>
    <row r="238" spans="1:8" x14ac:dyDescent="0.3">
      <c r="A238" t="s">
        <v>919</v>
      </c>
      <c r="B238" t="s">
        <v>770</v>
      </c>
      <c r="C238" t="s">
        <v>771</v>
      </c>
      <c r="D238" t="s">
        <v>270</v>
      </c>
      <c r="E238" t="s">
        <v>271</v>
      </c>
      <c r="F238" t="str">
        <f>IFERROR(INDEX(Aux!E:E,MATCH(Dados!E238,Aux!D:D,0)),INDEX(Aux!K:K,MATCH(Dados!B238,Aux!I:I,0)))</f>
        <v>Centro direita</v>
      </c>
      <c r="G238" s="2">
        <v>84357</v>
      </c>
      <c r="H238" s="2">
        <v>0</v>
      </c>
    </row>
    <row r="239" spans="1:8" x14ac:dyDescent="0.3">
      <c r="A239" t="s">
        <v>919</v>
      </c>
      <c r="B239" t="s">
        <v>787</v>
      </c>
      <c r="C239" t="s">
        <v>788</v>
      </c>
      <c r="D239" t="s">
        <v>733</v>
      </c>
      <c r="E239" t="s">
        <v>734</v>
      </c>
      <c r="F239" t="str">
        <f>IFERROR(INDEX(Aux!E:E,MATCH(Dados!E239,Aux!D:D,0)),INDEX(Aux!K:K,MATCH(Dados!B239,Aux!I:I,0)))</f>
        <v>Centro</v>
      </c>
      <c r="G239" s="2">
        <v>83963</v>
      </c>
      <c r="H239" s="2">
        <v>0</v>
      </c>
    </row>
    <row r="240" spans="1:8" x14ac:dyDescent="0.3">
      <c r="A240" t="s">
        <v>935</v>
      </c>
      <c r="B240" t="s">
        <v>641</v>
      </c>
      <c r="C240" t="s">
        <v>642</v>
      </c>
      <c r="D240" t="s">
        <v>64</v>
      </c>
      <c r="E240" t="s">
        <v>65</v>
      </c>
      <c r="F240" t="str">
        <f>IFERROR(INDEX(Aux!E:E,MATCH(Dados!E240,Aux!D:D,0)),INDEX(Aux!K:K,MATCH(Dados!B240,Aux!I:I,0)))</f>
        <v>Esquerda</v>
      </c>
      <c r="G240" s="2">
        <v>83028</v>
      </c>
      <c r="H240" s="2">
        <v>0</v>
      </c>
    </row>
    <row r="241" spans="1:8" x14ac:dyDescent="0.3">
      <c r="A241" t="s">
        <v>918</v>
      </c>
      <c r="B241" t="s">
        <v>871</v>
      </c>
      <c r="C241" t="s">
        <v>872</v>
      </c>
      <c r="D241" t="s">
        <v>361</v>
      </c>
      <c r="E241" t="s">
        <v>362</v>
      </c>
      <c r="F241" t="str">
        <f>IFERROR(INDEX(Aux!E:E,MATCH(Dados!E241,Aux!D:D,0)),INDEX(Aux!K:K,MATCH(Dados!B241,Aux!I:I,0)))</f>
        <v>Esquerda</v>
      </c>
      <c r="G241" s="2">
        <v>82955</v>
      </c>
      <c r="H241" s="2">
        <v>0</v>
      </c>
    </row>
    <row r="242" spans="1:8" x14ac:dyDescent="0.3">
      <c r="A242" t="s">
        <v>929</v>
      </c>
      <c r="B242" t="s">
        <v>488</v>
      </c>
      <c r="C242" t="s">
        <v>489</v>
      </c>
      <c r="D242" t="s">
        <v>426</v>
      </c>
      <c r="E242" t="s">
        <v>427</v>
      </c>
      <c r="F242" t="str">
        <f>IFERROR(INDEX(Aux!E:E,MATCH(Dados!E242,Aux!D:D,0)),INDEX(Aux!K:K,MATCH(Dados!B242,Aux!I:I,0)))</f>
        <v>Centro</v>
      </c>
      <c r="G242" s="2">
        <v>82791</v>
      </c>
      <c r="H242" s="2">
        <v>0</v>
      </c>
    </row>
    <row r="243" spans="1:8" x14ac:dyDescent="0.3">
      <c r="A243" t="s">
        <v>923</v>
      </c>
      <c r="B243" t="s">
        <v>770</v>
      </c>
      <c r="C243" t="s">
        <v>771</v>
      </c>
      <c r="D243" t="s">
        <v>34</v>
      </c>
      <c r="E243" t="s">
        <v>35</v>
      </c>
      <c r="F243" t="str">
        <f>IFERROR(INDEX(Aux!E:E,MATCH(Dados!E243,Aux!D:D,0)),INDEX(Aux!K:K,MATCH(Dados!B243,Aux!I:I,0)))</f>
        <v>Indefinido</v>
      </c>
      <c r="G243" s="2">
        <v>82672</v>
      </c>
      <c r="H243" s="2">
        <v>0</v>
      </c>
    </row>
    <row r="244" spans="1:8" x14ac:dyDescent="0.3">
      <c r="A244" t="s">
        <v>925</v>
      </c>
      <c r="B244" t="s">
        <v>787</v>
      </c>
      <c r="C244" t="s">
        <v>788</v>
      </c>
      <c r="D244" t="s">
        <v>793</v>
      </c>
      <c r="E244" t="s">
        <v>792</v>
      </c>
      <c r="F244" t="str">
        <f>IFERROR(INDEX(Aux!E:E,MATCH(Dados!E244,Aux!D:D,0)),INDEX(Aux!K:K,MATCH(Dados!B244,Aux!I:I,0)))</f>
        <v>Centro direita</v>
      </c>
      <c r="G244" s="2">
        <v>82641</v>
      </c>
      <c r="H244" s="2">
        <v>0</v>
      </c>
    </row>
    <row r="245" spans="1:8" x14ac:dyDescent="0.3">
      <c r="A245" t="s">
        <v>927</v>
      </c>
      <c r="B245" t="s">
        <v>875</v>
      </c>
      <c r="C245" t="s">
        <v>876</v>
      </c>
      <c r="D245" t="s">
        <v>670</v>
      </c>
      <c r="E245" t="s">
        <v>671</v>
      </c>
      <c r="F245" t="str">
        <f>IFERROR(INDEX(Aux!E:E,MATCH(Dados!E245,Aux!D:D,0)),INDEX(Aux!K:K,MATCH(Dados!B245,Aux!I:I,0)))</f>
        <v>Centro</v>
      </c>
      <c r="G245" s="2">
        <v>81841</v>
      </c>
      <c r="H245" s="2">
        <v>0</v>
      </c>
    </row>
    <row r="246" spans="1:8" x14ac:dyDescent="0.3">
      <c r="A246" t="s">
        <v>929</v>
      </c>
      <c r="B246" t="s">
        <v>558</v>
      </c>
      <c r="C246" t="s">
        <v>559</v>
      </c>
      <c r="D246" t="s">
        <v>84</v>
      </c>
      <c r="E246" t="s">
        <v>85</v>
      </c>
      <c r="F246" t="str">
        <f>IFERROR(INDEX(Aux!E:E,MATCH(Dados!E246,Aux!D:D,0)),INDEX(Aux!K:K,MATCH(Dados!B246,Aux!I:I,0)))</f>
        <v>Direita</v>
      </c>
      <c r="G246" s="2">
        <v>81640</v>
      </c>
      <c r="H246" s="2">
        <v>0</v>
      </c>
    </row>
    <row r="247" spans="1:8" x14ac:dyDescent="0.3">
      <c r="A247" t="s">
        <v>925</v>
      </c>
      <c r="B247" t="s">
        <v>4</v>
      </c>
      <c r="C247" t="s">
        <v>5</v>
      </c>
      <c r="D247" t="s">
        <v>28</v>
      </c>
      <c r="E247" t="s">
        <v>29</v>
      </c>
      <c r="F247" t="str">
        <f>IFERROR(INDEX(Aux!E:E,MATCH(Dados!E247,Aux!D:D,0)),INDEX(Aux!K:K,MATCH(Dados!B247,Aux!I:I,0)))</f>
        <v>Centro</v>
      </c>
      <c r="G247" s="2">
        <v>81317</v>
      </c>
      <c r="H247" s="2">
        <v>0</v>
      </c>
    </row>
    <row r="248" spans="1:8" x14ac:dyDescent="0.3">
      <c r="A248" t="s">
        <v>929</v>
      </c>
      <c r="B248" t="s">
        <v>756</v>
      </c>
      <c r="C248" t="s">
        <v>757</v>
      </c>
      <c r="D248" t="s">
        <v>226</v>
      </c>
      <c r="E248" t="s">
        <v>227</v>
      </c>
      <c r="F248" t="str">
        <f>IFERROR(INDEX(Aux!E:E,MATCH(Dados!E248,Aux!D:D,0)),INDEX(Aux!K:K,MATCH(Dados!B248,Aux!I:I,0)))</f>
        <v>Indefinido</v>
      </c>
      <c r="G248" s="2">
        <v>81308</v>
      </c>
      <c r="H248" s="2">
        <v>0</v>
      </c>
    </row>
    <row r="249" spans="1:8" x14ac:dyDescent="0.3">
      <c r="A249" t="s">
        <v>934</v>
      </c>
      <c r="B249" t="s">
        <v>716</v>
      </c>
      <c r="C249" t="s">
        <v>717</v>
      </c>
      <c r="D249" t="s">
        <v>16</v>
      </c>
      <c r="E249" t="s">
        <v>17</v>
      </c>
      <c r="F249" t="str">
        <f>IFERROR(INDEX(Aux!E:E,MATCH(Dados!E249,Aux!D:D,0)),INDEX(Aux!K:K,MATCH(Dados!B249,Aux!I:I,0)))</f>
        <v>Centro direita</v>
      </c>
      <c r="G249" s="2">
        <v>81296</v>
      </c>
      <c r="H249" s="2">
        <v>0</v>
      </c>
    </row>
    <row r="250" spans="1:8" x14ac:dyDescent="0.3">
      <c r="A250" t="s">
        <v>928</v>
      </c>
      <c r="B250" t="s">
        <v>817</v>
      </c>
      <c r="C250" t="s">
        <v>818</v>
      </c>
      <c r="D250" t="s">
        <v>90</v>
      </c>
      <c r="E250" t="s">
        <v>91</v>
      </c>
      <c r="F250" t="str">
        <f>IFERROR(INDEX(Aux!E:E,MATCH(Dados!E250,Aux!D:D,0)),INDEX(Aux!K:K,MATCH(Dados!B250,Aux!I:I,0)))</f>
        <v>Indefinido</v>
      </c>
      <c r="G250" s="2">
        <v>80695</v>
      </c>
      <c r="H250" s="2">
        <v>0</v>
      </c>
    </row>
    <row r="251" spans="1:8" x14ac:dyDescent="0.3">
      <c r="A251" t="s">
        <v>918</v>
      </c>
      <c r="B251" t="s">
        <v>893</v>
      </c>
      <c r="C251" t="s">
        <v>894</v>
      </c>
      <c r="D251" t="s">
        <v>468</v>
      </c>
      <c r="E251" t="s">
        <v>469</v>
      </c>
      <c r="F251" t="str">
        <f>IFERROR(INDEX(Aux!E:E,MATCH(Dados!E251,Aux!D:D,0)),INDEX(Aux!K:K,MATCH(Dados!B251,Aux!I:I,0)))</f>
        <v>Indefinido</v>
      </c>
      <c r="G251" s="2">
        <v>80394</v>
      </c>
      <c r="H251" s="2">
        <v>0</v>
      </c>
    </row>
    <row r="252" spans="1:8" x14ac:dyDescent="0.3">
      <c r="A252" t="s">
        <v>915</v>
      </c>
      <c r="B252" t="s">
        <v>871</v>
      </c>
      <c r="C252" t="s">
        <v>872</v>
      </c>
      <c r="D252" t="s">
        <v>815</v>
      </c>
      <c r="E252" t="s">
        <v>804</v>
      </c>
      <c r="F252" t="str">
        <f>IFERROR(INDEX(Aux!E:E,MATCH(Dados!E252,Aux!D:D,0)),INDEX(Aux!K:K,MATCH(Dados!B252,Aux!I:I,0)))</f>
        <v>Esquerda</v>
      </c>
      <c r="G252" s="2">
        <v>80125</v>
      </c>
      <c r="H252" s="2">
        <v>0</v>
      </c>
    </row>
    <row r="253" spans="1:8" x14ac:dyDescent="0.3">
      <c r="A253" t="s">
        <v>934</v>
      </c>
      <c r="B253" t="s">
        <v>690</v>
      </c>
      <c r="C253" t="s">
        <v>691</v>
      </c>
      <c r="D253" t="s">
        <v>709</v>
      </c>
      <c r="E253" t="s">
        <v>700</v>
      </c>
      <c r="F253" t="str">
        <f>IFERROR(INDEX(Aux!E:E,MATCH(Dados!E253,Aux!D:D,0)),INDEX(Aux!K:K,MATCH(Dados!B253,Aux!I:I,0)))</f>
        <v>Centro</v>
      </c>
      <c r="G253" s="2">
        <v>78966</v>
      </c>
      <c r="H253" s="2">
        <v>0</v>
      </c>
    </row>
    <row r="254" spans="1:8" x14ac:dyDescent="0.3">
      <c r="A254" t="s">
        <v>926</v>
      </c>
      <c r="B254" t="s">
        <v>4</v>
      </c>
      <c r="C254" t="s">
        <v>5</v>
      </c>
      <c r="D254" t="s">
        <v>32</v>
      </c>
      <c r="E254" t="s">
        <v>33</v>
      </c>
      <c r="F254" t="str">
        <f>IFERROR(INDEX(Aux!E:E,MATCH(Dados!E254,Aux!D:D,0)),INDEX(Aux!K:K,MATCH(Dados!B254,Aux!I:I,0)))</f>
        <v>Esquerda</v>
      </c>
      <c r="G254" s="2">
        <v>78431</v>
      </c>
      <c r="H254" s="2">
        <v>0</v>
      </c>
    </row>
    <row r="255" spans="1:8" x14ac:dyDescent="0.3">
      <c r="A255" t="s">
        <v>922</v>
      </c>
      <c r="B255" t="s">
        <v>871</v>
      </c>
      <c r="C255" t="s">
        <v>872</v>
      </c>
      <c r="D255" t="s">
        <v>100</v>
      </c>
      <c r="E255" t="s">
        <v>871</v>
      </c>
      <c r="F255" t="str">
        <f>IFERROR(INDEX(Aux!E:E,MATCH(Dados!E255,Aux!D:D,0)),INDEX(Aux!K:K,MATCH(Dados!B255,Aux!I:I,0)))</f>
        <v>Esquerda</v>
      </c>
      <c r="G255" s="2">
        <v>78417</v>
      </c>
      <c r="H255" s="2">
        <v>80458</v>
      </c>
    </row>
    <row r="256" spans="1:8" x14ac:dyDescent="0.3">
      <c r="A256" t="s">
        <v>920</v>
      </c>
      <c r="B256" t="s">
        <v>206</v>
      </c>
      <c r="C256" t="s">
        <v>207</v>
      </c>
      <c r="D256" t="s">
        <v>208</v>
      </c>
      <c r="E256" t="s">
        <v>209</v>
      </c>
      <c r="F256" t="str">
        <f>IFERROR(INDEX(Aux!E:E,MATCH(Dados!E256,Aux!D:D,0)),INDEX(Aux!K:K,MATCH(Dados!B256,Aux!I:I,0)))</f>
        <v>Indefinido</v>
      </c>
      <c r="G256" s="2">
        <v>78144</v>
      </c>
      <c r="H256" s="2">
        <v>0</v>
      </c>
    </row>
    <row r="257" spans="1:8" x14ac:dyDescent="0.3">
      <c r="A257" t="s">
        <v>932</v>
      </c>
      <c r="B257" t="s">
        <v>440</v>
      </c>
      <c r="C257" t="s">
        <v>441</v>
      </c>
      <c r="D257" t="s">
        <v>255</v>
      </c>
      <c r="E257" t="s">
        <v>256</v>
      </c>
      <c r="F257" t="str">
        <f>IFERROR(INDEX(Aux!E:E,MATCH(Dados!E257,Aux!D:D,0)),INDEX(Aux!K:K,MATCH(Dados!B257,Aux!I:I,0)))</f>
        <v>Centro esquerda</v>
      </c>
      <c r="G257" s="2">
        <v>77762</v>
      </c>
      <c r="H257" s="2">
        <v>0</v>
      </c>
    </row>
    <row r="258" spans="1:8" x14ac:dyDescent="0.3">
      <c r="A258" t="s">
        <v>920</v>
      </c>
      <c r="B258" t="s">
        <v>787</v>
      </c>
      <c r="C258" t="s">
        <v>788</v>
      </c>
      <c r="D258" t="s">
        <v>363</v>
      </c>
      <c r="E258" t="s">
        <v>364</v>
      </c>
      <c r="F258" t="str">
        <f>IFERROR(INDEX(Aux!E:E,MATCH(Dados!E258,Aux!D:D,0)),INDEX(Aux!K:K,MATCH(Dados!B258,Aux!I:I,0)))</f>
        <v>Centro direita</v>
      </c>
      <c r="G258" s="2">
        <v>76947</v>
      </c>
      <c r="H258" s="2">
        <v>23533</v>
      </c>
    </row>
    <row r="259" spans="1:8" x14ac:dyDescent="0.3">
      <c r="A259" t="s">
        <v>930</v>
      </c>
      <c r="B259" t="s">
        <v>893</v>
      </c>
      <c r="C259" t="s">
        <v>894</v>
      </c>
      <c r="D259" t="s">
        <v>228</v>
      </c>
      <c r="E259" t="s">
        <v>229</v>
      </c>
      <c r="F259" t="str">
        <f>IFERROR(INDEX(Aux!E:E,MATCH(Dados!E259,Aux!D:D,0)),INDEX(Aux!K:K,MATCH(Dados!B259,Aux!I:I,0)))</f>
        <v>Indefinido</v>
      </c>
      <c r="G259" s="2">
        <v>76495</v>
      </c>
      <c r="H259" s="2">
        <v>0</v>
      </c>
    </row>
    <row r="260" spans="1:8" x14ac:dyDescent="0.3">
      <c r="A260" t="s">
        <v>931</v>
      </c>
      <c r="B260" t="s">
        <v>831</v>
      </c>
      <c r="C260" t="s">
        <v>832</v>
      </c>
      <c r="D260" t="s">
        <v>400</v>
      </c>
      <c r="E260" t="s">
        <v>401</v>
      </c>
      <c r="F260" t="str">
        <f>IFERROR(INDEX(Aux!E:E,MATCH(Dados!E260,Aux!D:D,0)),INDEX(Aux!K:K,MATCH(Dados!B260,Aux!I:I,0)))</f>
        <v>Indefinido</v>
      </c>
      <c r="G260" s="2">
        <v>76073</v>
      </c>
      <c r="H260" s="2">
        <v>0</v>
      </c>
    </row>
    <row r="261" spans="1:8" x14ac:dyDescent="0.3">
      <c r="A261" t="s">
        <v>924</v>
      </c>
      <c r="B261" t="s">
        <v>488</v>
      </c>
      <c r="C261" t="s">
        <v>489</v>
      </c>
      <c r="D261" t="s">
        <v>531</v>
      </c>
      <c r="E261" t="s">
        <v>495</v>
      </c>
      <c r="F261" t="str">
        <f>IFERROR(INDEX(Aux!E:E,MATCH(Dados!E261,Aux!D:D,0)),INDEX(Aux!K:K,MATCH(Dados!B261,Aux!I:I,0)))</f>
        <v>Indefinido</v>
      </c>
      <c r="G261" s="2">
        <v>75936</v>
      </c>
      <c r="H261" s="2">
        <v>0</v>
      </c>
    </row>
    <row r="262" spans="1:8" x14ac:dyDescent="0.3">
      <c r="A262" t="s">
        <v>915</v>
      </c>
      <c r="B262" t="s">
        <v>737</v>
      </c>
      <c r="C262" t="s">
        <v>738</v>
      </c>
      <c r="D262" t="s">
        <v>100</v>
      </c>
      <c r="E262" t="s">
        <v>737</v>
      </c>
      <c r="F262" t="str">
        <f>IFERROR(INDEX(Aux!E:E,MATCH(Dados!E262,Aux!D:D,0)),INDEX(Aux!K:K,MATCH(Dados!B262,Aux!I:I,0)))</f>
        <v>Direita</v>
      </c>
      <c r="G262" s="2">
        <v>75491</v>
      </c>
      <c r="H262" s="2">
        <v>46900</v>
      </c>
    </row>
    <row r="263" spans="1:8" x14ac:dyDescent="0.3">
      <c r="A263" t="s">
        <v>926</v>
      </c>
      <c r="B263" t="s">
        <v>488</v>
      </c>
      <c r="C263" t="s">
        <v>489</v>
      </c>
      <c r="D263" t="s">
        <v>32</v>
      </c>
      <c r="E263" t="s">
        <v>33</v>
      </c>
      <c r="F263" t="str">
        <f>IFERROR(INDEX(Aux!E:E,MATCH(Dados!E263,Aux!D:D,0)),INDEX(Aux!K:K,MATCH(Dados!B263,Aux!I:I,0)))</f>
        <v>Esquerda</v>
      </c>
      <c r="G263" s="2">
        <v>75202</v>
      </c>
      <c r="H263" s="2">
        <v>0</v>
      </c>
    </row>
    <row r="264" spans="1:8" x14ac:dyDescent="0.3">
      <c r="A264" t="s">
        <v>930</v>
      </c>
      <c r="B264" t="s">
        <v>875</v>
      </c>
      <c r="C264" t="s">
        <v>876</v>
      </c>
      <c r="D264" t="s">
        <v>290</v>
      </c>
      <c r="E264" t="s">
        <v>291</v>
      </c>
      <c r="F264" t="str">
        <f>IFERROR(INDEX(Aux!E:E,MATCH(Dados!E264,Aux!D:D,0)),INDEX(Aux!K:K,MATCH(Dados!B264,Aux!I:I,0)))</f>
        <v>Centro</v>
      </c>
      <c r="G264" s="2">
        <v>74948</v>
      </c>
      <c r="H264" s="2">
        <v>0</v>
      </c>
    </row>
    <row r="265" spans="1:8" x14ac:dyDescent="0.3">
      <c r="A265" t="s">
        <v>920</v>
      </c>
      <c r="B265" t="s">
        <v>664</v>
      </c>
      <c r="C265" t="s">
        <v>665</v>
      </c>
      <c r="D265" t="s">
        <v>390</v>
      </c>
      <c r="E265" t="s">
        <v>391</v>
      </c>
      <c r="F265" t="str">
        <f>IFERROR(INDEX(Aux!E:E,MATCH(Dados!E265,Aux!D:D,0)),INDEX(Aux!K:K,MATCH(Dados!B265,Aux!I:I,0)))</f>
        <v>Esquerda</v>
      </c>
      <c r="G265" s="2">
        <v>74712</v>
      </c>
      <c r="H265" s="2">
        <v>52237</v>
      </c>
    </row>
    <row r="266" spans="1:8" x14ac:dyDescent="0.3">
      <c r="A266" t="s">
        <v>932</v>
      </c>
      <c r="B266" t="s">
        <v>799</v>
      </c>
      <c r="C266" t="s">
        <v>800</v>
      </c>
      <c r="D266" t="s">
        <v>255</v>
      </c>
      <c r="E266" t="s">
        <v>256</v>
      </c>
      <c r="F266" t="str">
        <f>IFERROR(INDEX(Aux!E:E,MATCH(Dados!E266,Aux!D:D,0)),INDEX(Aux!K:K,MATCH(Dados!B266,Aux!I:I,0)))</f>
        <v>Centro esquerda</v>
      </c>
      <c r="G266" s="2">
        <v>74680</v>
      </c>
      <c r="H266" s="2">
        <v>0</v>
      </c>
    </row>
    <row r="267" spans="1:8" x14ac:dyDescent="0.3">
      <c r="A267" t="s">
        <v>931</v>
      </c>
      <c r="B267" t="s">
        <v>893</v>
      </c>
      <c r="C267" t="s">
        <v>894</v>
      </c>
      <c r="D267" t="s">
        <v>400</v>
      </c>
      <c r="E267" t="s">
        <v>401</v>
      </c>
      <c r="F267" t="str">
        <f>IFERROR(INDEX(Aux!E:E,MATCH(Dados!E267,Aux!D:D,0)),INDEX(Aux!K:K,MATCH(Dados!B267,Aux!I:I,0)))</f>
        <v>Indefinido</v>
      </c>
      <c r="G267" s="2">
        <v>74465</v>
      </c>
      <c r="H267" s="2">
        <v>0</v>
      </c>
    </row>
    <row r="268" spans="1:8" x14ac:dyDescent="0.3">
      <c r="A268" t="s">
        <v>929</v>
      </c>
      <c r="B268" t="s">
        <v>599</v>
      </c>
      <c r="C268" t="s">
        <v>600</v>
      </c>
      <c r="D268" t="s">
        <v>426</v>
      </c>
      <c r="E268" t="s">
        <v>427</v>
      </c>
      <c r="F268" t="str">
        <f>IFERROR(INDEX(Aux!E:E,MATCH(Dados!E268,Aux!D:D,0)),INDEX(Aux!K:K,MATCH(Dados!B268,Aux!I:I,0)))</f>
        <v>Centro</v>
      </c>
      <c r="G268" s="2">
        <v>74453</v>
      </c>
      <c r="H268" s="2">
        <v>0</v>
      </c>
    </row>
    <row r="269" spans="1:8" x14ac:dyDescent="0.3">
      <c r="A269" t="s">
        <v>925</v>
      </c>
      <c r="B269" t="s">
        <v>831</v>
      </c>
      <c r="C269" t="s">
        <v>832</v>
      </c>
      <c r="D269" t="s">
        <v>139</v>
      </c>
      <c r="E269" t="s">
        <v>140</v>
      </c>
      <c r="F269" t="str">
        <f>IFERROR(INDEX(Aux!E:E,MATCH(Dados!E269,Aux!D:D,0)),INDEX(Aux!K:K,MATCH(Dados!B269,Aux!I:I,0)))</f>
        <v>Direita</v>
      </c>
      <c r="G269" s="2">
        <v>74168</v>
      </c>
      <c r="H269" s="2">
        <v>0</v>
      </c>
    </row>
    <row r="270" spans="1:8" x14ac:dyDescent="0.3">
      <c r="A270" t="s">
        <v>937</v>
      </c>
      <c r="B270" t="s">
        <v>875</v>
      </c>
      <c r="C270" t="s">
        <v>876</v>
      </c>
      <c r="D270" t="s">
        <v>259</v>
      </c>
      <c r="E270" t="s">
        <v>260</v>
      </c>
      <c r="F270" t="str">
        <f>IFERROR(INDEX(Aux!E:E,MATCH(Dados!E270,Aux!D:D,0)),INDEX(Aux!K:K,MATCH(Dados!B270,Aux!I:I,0)))</f>
        <v>Centro</v>
      </c>
      <c r="G270" s="2">
        <v>74035</v>
      </c>
      <c r="H270" s="2">
        <v>0</v>
      </c>
    </row>
    <row r="271" spans="1:8" x14ac:dyDescent="0.3">
      <c r="A271" t="s">
        <v>920</v>
      </c>
      <c r="B271" t="s">
        <v>540</v>
      </c>
      <c r="C271" t="s">
        <v>541</v>
      </c>
      <c r="D271" t="s">
        <v>548</v>
      </c>
      <c r="E271" t="s">
        <v>543</v>
      </c>
      <c r="F271" t="str">
        <f>IFERROR(INDEX(Aux!E:E,MATCH(Dados!E271,Aux!D:D,0)),INDEX(Aux!K:K,MATCH(Dados!B271,Aux!I:I,0)))</f>
        <v>Esquerda</v>
      </c>
      <c r="G271" s="2">
        <v>73969</v>
      </c>
      <c r="H271" s="2">
        <v>103155</v>
      </c>
    </row>
    <row r="272" spans="1:8" x14ac:dyDescent="0.3">
      <c r="A272" t="s">
        <v>927</v>
      </c>
      <c r="B272" t="s">
        <v>817</v>
      </c>
      <c r="C272" t="s">
        <v>818</v>
      </c>
      <c r="D272" t="s">
        <v>233</v>
      </c>
      <c r="E272" t="s">
        <v>234</v>
      </c>
      <c r="F272" t="str">
        <f>IFERROR(INDEX(Aux!E:E,MATCH(Dados!E272,Aux!D:D,0)),INDEX(Aux!K:K,MATCH(Dados!B272,Aux!I:I,0)))</f>
        <v>Centro esquerda</v>
      </c>
      <c r="G272" s="2">
        <v>73819</v>
      </c>
      <c r="H272" s="2">
        <v>0</v>
      </c>
    </row>
    <row r="273" spans="1:8" x14ac:dyDescent="0.3">
      <c r="A273" t="s">
        <v>926</v>
      </c>
      <c r="B273" t="s">
        <v>388</v>
      </c>
      <c r="C273" t="s">
        <v>389</v>
      </c>
      <c r="D273" t="s">
        <v>424</v>
      </c>
      <c r="E273" t="s">
        <v>425</v>
      </c>
      <c r="F273" t="str">
        <f>IFERROR(INDEX(Aux!E:E,MATCH(Dados!E273,Aux!D:D,0)),INDEX(Aux!K:K,MATCH(Dados!B273,Aux!I:I,0)))</f>
        <v>Centro esquerda</v>
      </c>
      <c r="G273" s="2">
        <v>73817</v>
      </c>
      <c r="H273" s="2">
        <v>0</v>
      </c>
    </row>
    <row r="274" spans="1:8" x14ac:dyDescent="0.3">
      <c r="A274" t="s">
        <v>933</v>
      </c>
      <c r="B274" t="s">
        <v>875</v>
      </c>
      <c r="C274" t="s">
        <v>876</v>
      </c>
      <c r="D274" t="s">
        <v>214</v>
      </c>
      <c r="E274" t="s">
        <v>215</v>
      </c>
      <c r="F274" t="str">
        <f>IFERROR(INDEX(Aux!E:E,MATCH(Dados!E274,Aux!D:D,0)),INDEX(Aux!K:K,MATCH(Dados!B274,Aux!I:I,0)))</f>
        <v>Centro</v>
      </c>
      <c r="G274" s="2">
        <v>73753</v>
      </c>
      <c r="H274" s="2">
        <v>0</v>
      </c>
    </row>
    <row r="275" spans="1:8" x14ac:dyDescent="0.3">
      <c r="A275" t="s">
        <v>920</v>
      </c>
      <c r="B275" t="s">
        <v>690</v>
      </c>
      <c r="C275" t="s">
        <v>691</v>
      </c>
      <c r="D275" t="s">
        <v>705</v>
      </c>
      <c r="E275" t="s">
        <v>706</v>
      </c>
      <c r="F275" t="str">
        <f>IFERROR(INDEX(Aux!E:E,MATCH(Dados!E275,Aux!D:D,0)),INDEX(Aux!K:K,MATCH(Dados!B275,Aux!I:I,0)))</f>
        <v>Centro</v>
      </c>
      <c r="G275" s="2">
        <v>73531</v>
      </c>
      <c r="H275" s="2">
        <v>62526</v>
      </c>
    </row>
    <row r="276" spans="1:8" x14ac:dyDescent="0.3">
      <c r="A276" t="s">
        <v>917</v>
      </c>
      <c r="B276" t="s">
        <v>334</v>
      </c>
      <c r="C276" t="s">
        <v>335</v>
      </c>
      <c r="D276" t="s">
        <v>375</v>
      </c>
      <c r="E276" t="s">
        <v>376</v>
      </c>
      <c r="F276" t="str">
        <f>IFERROR(INDEX(Aux!E:E,MATCH(Dados!E276,Aux!D:D,0)),INDEX(Aux!K:K,MATCH(Dados!B276,Aux!I:I,0)))</f>
        <v>Indefinido</v>
      </c>
      <c r="G276" s="2">
        <v>71611</v>
      </c>
      <c r="H276" s="2">
        <v>0</v>
      </c>
    </row>
    <row r="277" spans="1:8" x14ac:dyDescent="0.3">
      <c r="A277" t="s">
        <v>935</v>
      </c>
      <c r="B277" t="s">
        <v>857</v>
      </c>
      <c r="C277" t="s">
        <v>858</v>
      </c>
      <c r="D277" t="s">
        <v>64</v>
      </c>
      <c r="E277" t="s">
        <v>65</v>
      </c>
      <c r="F277" t="str">
        <f>IFERROR(INDEX(Aux!E:E,MATCH(Dados!E277,Aux!D:D,0)),INDEX(Aux!K:K,MATCH(Dados!B277,Aux!I:I,0)))</f>
        <v>Esquerda</v>
      </c>
      <c r="G277" s="2">
        <v>71502</v>
      </c>
      <c r="H277" s="2">
        <v>0</v>
      </c>
    </row>
    <row r="278" spans="1:8" x14ac:dyDescent="0.3">
      <c r="A278" t="s">
        <v>924</v>
      </c>
      <c r="B278" t="s">
        <v>388</v>
      </c>
      <c r="C278" t="s">
        <v>389</v>
      </c>
      <c r="D278" t="s">
        <v>54</v>
      </c>
      <c r="E278" t="s">
        <v>55</v>
      </c>
      <c r="F278" t="str">
        <f>IFERROR(INDEX(Aux!E:E,MATCH(Dados!E278,Aux!D:D,0)),INDEX(Aux!K:K,MATCH(Dados!B278,Aux!I:I,0)))</f>
        <v>Centro esquerda</v>
      </c>
      <c r="G278" s="2">
        <v>70828</v>
      </c>
      <c r="H278" s="2">
        <v>70271</v>
      </c>
    </row>
    <row r="279" spans="1:8" x14ac:dyDescent="0.3">
      <c r="A279" t="s">
        <v>934</v>
      </c>
      <c r="B279" t="s">
        <v>334</v>
      </c>
      <c r="C279" t="s">
        <v>335</v>
      </c>
      <c r="D279" t="s">
        <v>204</v>
      </c>
      <c r="E279" t="s">
        <v>205</v>
      </c>
      <c r="F279" t="str">
        <f>IFERROR(INDEX(Aux!E:E,MATCH(Dados!E279,Aux!D:D,0)),INDEX(Aux!K:K,MATCH(Dados!B279,Aux!I:I,0)))</f>
        <v>Esquerda</v>
      </c>
      <c r="G279" s="2">
        <v>70446</v>
      </c>
      <c r="H279" s="2">
        <v>0</v>
      </c>
    </row>
    <row r="280" spans="1:8" x14ac:dyDescent="0.3">
      <c r="A280" t="s">
        <v>933</v>
      </c>
      <c r="B280" t="s">
        <v>716</v>
      </c>
      <c r="C280" t="s">
        <v>717</v>
      </c>
      <c r="D280" t="s">
        <v>398</v>
      </c>
      <c r="E280" t="s">
        <v>399</v>
      </c>
      <c r="F280" t="str">
        <f>IFERROR(INDEX(Aux!E:E,MATCH(Dados!E280,Aux!D:D,0)),INDEX(Aux!K:K,MATCH(Dados!B280,Aux!I:I,0)))</f>
        <v>Indefinido</v>
      </c>
      <c r="G280" s="2">
        <v>70413</v>
      </c>
      <c r="H280" s="2">
        <v>0</v>
      </c>
    </row>
    <row r="281" spans="1:8" x14ac:dyDescent="0.3">
      <c r="A281" t="s">
        <v>925</v>
      </c>
      <c r="B281" t="s">
        <v>690</v>
      </c>
      <c r="C281" t="s">
        <v>691</v>
      </c>
      <c r="D281" t="s">
        <v>28</v>
      </c>
      <c r="E281" t="s">
        <v>29</v>
      </c>
      <c r="F281" t="str">
        <f>IFERROR(INDEX(Aux!E:E,MATCH(Dados!E281,Aux!D:D,0)),INDEX(Aux!K:K,MATCH(Dados!B281,Aux!I:I,0)))</f>
        <v>Centro</v>
      </c>
      <c r="G281" s="2">
        <v>70121</v>
      </c>
      <c r="H281" s="2">
        <v>0</v>
      </c>
    </row>
    <row r="282" spans="1:8" x14ac:dyDescent="0.3">
      <c r="A282" t="s">
        <v>934</v>
      </c>
      <c r="B282" t="s">
        <v>893</v>
      </c>
      <c r="C282" t="s">
        <v>894</v>
      </c>
      <c r="D282" t="s">
        <v>853</v>
      </c>
      <c r="E282" t="s">
        <v>854</v>
      </c>
      <c r="F282" t="str">
        <f>IFERROR(INDEX(Aux!E:E,MATCH(Dados!E282,Aux!D:D,0)),INDEX(Aux!K:K,MATCH(Dados!B282,Aux!I:I,0)))</f>
        <v>Indefinido</v>
      </c>
      <c r="G282" s="2">
        <v>69799</v>
      </c>
      <c r="H282" s="2">
        <v>0</v>
      </c>
    </row>
    <row r="283" spans="1:8" x14ac:dyDescent="0.3">
      <c r="A283" t="s">
        <v>937</v>
      </c>
      <c r="B283" t="s">
        <v>206</v>
      </c>
      <c r="C283" t="s">
        <v>207</v>
      </c>
      <c r="D283" t="s">
        <v>259</v>
      </c>
      <c r="E283" t="s">
        <v>260</v>
      </c>
      <c r="F283" t="str">
        <f>IFERROR(INDEX(Aux!E:E,MATCH(Dados!E283,Aux!D:D,0)),INDEX(Aux!K:K,MATCH(Dados!B283,Aux!I:I,0)))</f>
        <v>Centro</v>
      </c>
      <c r="G283" s="2">
        <v>69565</v>
      </c>
      <c r="H283" s="2">
        <v>0</v>
      </c>
    </row>
    <row r="284" spans="1:8" x14ac:dyDescent="0.3">
      <c r="A284" t="s">
        <v>923</v>
      </c>
      <c r="B284" t="s">
        <v>206</v>
      </c>
      <c r="C284" t="s">
        <v>207</v>
      </c>
      <c r="D284" t="s">
        <v>224</v>
      </c>
      <c r="E284" t="s">
        <v>225</v>
      </c>
      <c r="F284" t="str">
        <f>IFERROR(INDEX(Aux!E:E,MATCH(Dados!E284,Aux!D:D,0)),INDEX(Aux!K:K,MATCH(Dados!B284,Aux!I:I,0)))</f>
        <v>Centro</v>
      </c>
      <c r="G284" s="2">
        <v>69510</v>
      </c>
      <c r="H284" s="2">
        <v>0</v>
      </c>
    </row>
    <row r="285" spans="1:8" x14ac:dyDescent="0.3">
      <c r="A285" t="s">
        <v>926</v>
      </c>
      <c r="B285" t="s">
        <v>664</v>
      </c>
      <c r="C285" t="s">
        <v>665</v>
      </c>
      <c r="D285" t="s">
        <v>243</v>
      </c>
      <c r="E285" t="s">
        <v>244</v>
      </c>
      <c r="F285" t="str">
        <f>IFERROR(INDEX(Aux!E:E,MATCH(Dados!E285,Aux!D:D,0)),INDEX(Aux!K:K,MATCH(Dados!B285,Aux!I:I,0)))</f>
        <v>Indefinido</v>
      </c>
      <c r="G285" s="2">
        <v>69197</v>
      </c>
      <c r="H285" s="2">
        <v>0</v>
      </c>
    </row>
    <row r="286" spans="1:8" x14ac:dyDescent="0.3">
      <c r="A286" t="s">
        <v>917</v>
      </c>
      <c r="B286" t="s">
        <v>737</v>
      </c>
      <c r="C286" t="s">
        <v>738</v>
      </c>
      <c r="D286" t="s">
        <v>591</v>
      </c>
      <c r="E286" t="s">
        <v>592</v>
      </c>
      <c r="F286" t="str">
        <f>IFERROR(INDEX(Aux!E:E,MATCH(Dados!E286,Aux!D:D,0)),INDEX(Aux!K:K,MATCH(Dados!B286,Aux!I:I,0)))</f>
        <v>Centro direita</v>
      </c>
      <c r="G286" s="2">
        <v>68722</v>
      </c>
      <c r="H286" s="2">
        <v>10706</v>
      </c>
    </row>
    <row r="287" spans="1:8" x14ac:dyDescent="0.3">
      <c r="A287" t="s">
        <v>923</v>
      </c>
      <c r="B287" t="s">
        <v>4</v>
      </c>
      <c r="C287" t="s">
        <v>5</v>
      </c>
      <c r="D287" t="s">
        <v>34</v>
      </c>
      <c r="E287" t="s">
        <v>35</v>
      </c>
      <c r="F287" t="str">
        <f>IFERROR(INDEX(Aux!E:E,MATCH(Dados!E287,Aux!D:D,0)),INDEX(Aux!K:K,MATCH(Dados!B287,Aux!I:I,0)))</f>
        <v>Indefinido</v>
      </c>
      <c r="G287" s="2">
        <v>68461</v>
      </c>
      <c r="H287" s="2">
        <v>0</v>
      </c>
    </row>
    <row r="288" spans="1:8" x14ac:dyDescent="0.3">
      <c r="A288" t="s">
        <v>917</v>
      </c>
      <c r="B288" t="s">
        <v>664</v>
      </c>
      <c r="C288" t="s">
        <v>665</v>
      </c>
      <c r="D288" t="s">
        <v>438</v>
      </c>
      <c r="E288" t="s">
        <v>439</v>
      </c>
      <c r="F288" t="str">
        <f>IFERROR(INDEX(Aux!E:E,MATCH(Dados!E288,Aux!D:D,0)),INDEX(Aux!K:K,MATCH(Dados!B288,Aux!I:I,0)))</f>
        <v>Centro</v>
      </c>
      <c r="G288" s="2">
        <v>68378</v>
      </c>
      <c r="H288" s="2">
        <v>0</v>
      </c>
    </row>
    <row r="289" spans="1:8" x14ac:dyDescent="0.3">
      <c r="A289" t="s">
        <v>935</v>
      </c>
      <c r="B289" t="s">
        <v>756</v>
      </c>
      <c r="C289" t="s">
        <v>757</v>
      </c>
      <c r="D289" t="s">
        <v>631</v>
      </c>
      <c r="E289" t="s">
        <v>632</v>
      </c>
      <c r="F289" t="str">
        <f>IFERROR(INDEX(Aux!E:E,MATCH(Dados!E289,Aux!D:D,0)),INDEX(Aux!K:K,MATCH(Dados!B289,Aux!I:I,0)))</f>
        <v>Direita</v>
      </c>
      <c r="G289" s="2">
        <v>68014</v>
      </c>
      <c r="H289" s="2">
        <v>2871</v>
      </c>
    </row>
    <row r="290" spans="1:8" x14ac:dyDescent="0.3">
      <c r="A290" t="s">
        <v>919</v>
      </c>
      <c r="B290" t="s">
        <v>4</v>
      </c>
      <c r="C290" t="s">
        <v>5</v>
      </c>
      <c r="D290" t="s">
        <v>58</v>
      </c>
      <c r="E290" t="s">
        <v>59</v>
      </c>
      <c r="F290" t="str">
        <f>IFERROR(INDEX(Aux!E:E,MATCH(Dados!E290,Aux!D:D,0)),INDEX(Aux!K:K,MATCH(Dados!B290,Aux!I:I,0)))</f>
        <v>Centro</v>
      </c>
      <c r="G290" s="2">
        <v>67125</v>
      </c>
      <c r="H290" s="2">
        <v>0</v>
      </c>
    </row>
    <row r="291" spans="1:8" x14ac:dyDescent="0.3">
      <c r="A291" t="s">
        <v>932</v>
      </c>
      <c r="B291" t="s">
        <v>488</v>
      </c>
      <c r="C291" t="s">
        <v>489</v>
      </c>
      <c r="D291" t="s">
        <v>92</v>
      </c>
      <c r="E291" t="s">
        <v>93</v>
      </c>
      <c r="F291" t="str">
        <f>IFERROR(INDEX(Aux!E:E,MATCH(Dados!E291,Aux!D:D,0)),INDEX(Aux!K:K,MATCH(Dados!B291,Aux!I:I,0)))</f>
        <v>Esquerda</v>
      </c>
      <c r="G291" s="2">
        <v>66660</v>
      </c>
      <c r="H291" s="2">
        <v>0</v>
      </c>
    </row>
    <row r="292" spans="1:8" x14ac:dyDescent="0.3">
      <c r="A292" t="s">
        <v>937</v>
      </c>
      <c r="B292" t="s">
        <v>756</v>
      </c>
      <c r="C292" t="s">
        <v>757</v>
      </c>
      <c r="D292" t="s">
        <v>74</v>
      </c>
      <c r="E292" t="s">
        <v>75</v>
      </c>
      <c r="F292" t="str">
        <f>IFERROR(INDEX(Aux!E:E,MATCH(Dados!E292,Aux!D:D,0)),INDEX(Aux!K:K,MATCH(Dados!B292,Aux!I:I,0)))</f>
        <v>Centro esquerda</v>
      </c>
      <c r="G292" s="2">
        <v>66648</v>
      </c>
      <c r="H292" s="2">
        <v>0</v>
      </c>
    </row>
    <row r="293" spans="1:8" x14ac:dyDescent="0.3">
      <c r="A293" t="s">
        <v>916</v>
      </c>
      <c r="B293" t="s">
        <v>871</v>
      </c>
      <c r="C293" t="s">
        <v>872</v>
      </c>
      <c r="D293" t="s">
        <v>513</v>
      </c>
      <c r="E293" t="s">
        <v>514</v>
      </c>
      <c r="F293" t="str">
        <f>IFERROR(INDEX(Aux!E:E,MATCH(Dados!E293,Aux!D:D,0)),INDEX(Aux!K:K,MATCH(Dados!B293,Aux!I:I,0)))</f>
        <v>Direita</v>
      </c>
      <c r="G293" s="2">
        <v>66341</v>
      </c>
      <c r="H293" s="2">
        <v>0</v>
      </c>
    </row>
    <row r="294" spans="1:8" x14ac:dyDescent="0.3">
      <c r="A294" t="s">
        <v>924</v>
      </c>
      <c r="B294" t="s">
        <v>440</v>
      </c>
      <c r="C294" t="s">
        <v>441</v>
      </c>
      <c r="D294" t="s">
        <v>450</v>
      </c>
      <c r="E294" t="s">
        <v>451</v>
      </c>
      <c r="F294" t="str">
        <f>IFERROR(INDEX(Aux!E:E,MATCH(Dados!E294,Aux!D:D,0)),INDEX(Aux!K:K,MATCH(Dados!B294,Aux!I:I,0)))</f>
        <v>Centro</v>
      </c>
      <c r="G294" s="2">
        <v>66072</v>
      </c>
      <c r="H294" s="2">
        <v>0</v>
      </c>
    </row>
    <row r="295" spans="1:8" x14ac:dyDescent="0.3">
      <c r="A295" t="s">
        <v>918</v>
      </c>
      <c r="B295" t="s">
        <v>206</v>
      </c>
      <c r="C295" t="s">
        <v>207</v>
      </c>
      <c r="D295" t="s">
        <v>80</v>
      </c>
      <c r="E295" t="s">
        <v>81</v>
      </c>
      <c r="F295" t="str">
        <f>IFERROR(INDEX(Aux!E:E,MATCH(Dados!E295,Aux!D:D,0)),INDEX(Aux!K:K,MATCH(Dados!B295,Aux!I:I,0)))</f>
        <v>Centro</v>
      </c>
      <c r="G295" s="2">
        <v>65616</v>
      </c>
      <c r="H295" s="2">
        <v>18061</v>
      </c>
    </row>
    <row r="296" spans="1:8" x14ac:dyDescent="0.3">
      <c r="A296" t="s">
        <v>917</v>
      </c>
      <c r="B296" t="s">
        <v>641</v>
      </c>
      <c r="C296" t="s">
        <v>642</v>
      </c>
      <c r="D296" t="s">
        <v>98</v>
      </c>
      <c r="E296" t="s">
        <v>99</v>
      </c>
      <c r="F296" t="str">
        <f>IFERROR(INDEX(Aux!E:E,MATCH(Dados!E296,Aux!D:D,0)),INDEX(Aux!K:K,MATCH(Dados!B296,Aux!I:I,0)))</f>
        <v>Esquerda</v>
      </c>
      <c r="G296" s="2">
        <v>65597</v>
      </c>
      <c r="H296" s="2">
        <v>0</v>
      </c>
    </row>
    <row r="297" spans="1:8" x14ac:dyDescent="0.3">
      <c r="A297" t="s">
        <v>923</v>
      </c>
      <c r="B297" t="s">
        <v>756</v>
      </c>
      <c r="C297" t="s">
        <v>757</v>
      </c>
      <c r="D297" t="s">
        <v>224</v>
      </c>
      <c r="E297" t="s">
        <v>225</v>
      </c>
      <c r="F297" t="str">
        <f>IFERROR(INDEX(Aux!E:E,MATCH(Dados!E297,Aux!D:D,0)),INDEX(Aux!K:K,MATCH(Dados!B297,Aux!I:I,0)))</f>
        <v>Centro</v>
      </c>
      <c r="G297" s="2">
        <v>64928</v>
      </c>
      <c r="H297" s="2">
        <v>0</v>
      </c>
    </row>
    <row r="298" spans="1:8" x14ac:dyDescent="0.3">
      <c r="A298" t="s">
        <v>929</v>
      </c>
      <c r="B298" t="s">
        <v>893</v>
      </c>
      <c r="C298" t="s">
        <v>894</v>
      </c>
      <c r="D298" t="s">
        <v>226</v>
      </c>
      <c r="E298" t="s">
        <v>227</v>
      </c>
      <c r="F298" t="str">
        <f>IFERROR(INDEX(Aux!E:E,MATCH(Dados!E298,Aux!D:D,0)),INDEX(Aux!K:K,MATCH(Dados!B298,Aux!I:I,0)))</f>
        <v>Indefinido</v>
      </c>
      <c r="G298" s="2">
        <v>64678</v>
      </c>
      <c r="H298" s="2">
        <v>0</v>
      </c>
    </row>
    <row r="299" spans="1:8" x14ac:dyDescent="0.3">
      <c r="A299" t="s">
        <v>935</v>
      </c>
      <c r="B299" t="s">
        <v>4</v>
      </c>
      <c r="C299" t="s">
        <v>5</v>
      </c>
      <c r="D299" t="s">
        <v>64</v>
      </c>
      <c r="E299" t="s">
        <v>65</v>
      </c>
      <c r="F299" t="str">
        <f>IFERROR(INDEX(Aux!E:E,MATCH(Dados!E299,Aux!D:D,0)),INDEX(Aux!K:K,MATCH(Dados!B299,Aux!I:I,0)))</f>
        <v>Esquerda</v>
      </c>
      <c r="G299" s="2">
        <v>64621</v>
      </c>
      <c r="H299" s="2">
        <v>0</v>
      </c>
    </row>
    <row r="300" spans="1:8" x14ac:dyDescent="0.3">
      <c r="A300" t="s">
        <v>921</v>
      </c>
      <c r="B300" t="s">
        <v>540</v>
      </c>
      <c r="C300" t="s">
        <v>541</v>
      </c>
      <c r="D300" t="s">
        <v>552</v>
      </c>
      <c r="E300" t="s">
        <v>543</v>
      </c>
      <c r="F300" t="str">
        <f>IFERROR(INDEX(Aux!E:E,MATCH(Dados!E300,Aux!D:D,0)),INDEX(Aux!K:K,MATCH(Dados!B300,Aux!I:I,0)))</f>
        <v>Esquerda</v>
      </c>
      <c r="G300" s="2">
        <v>63997</v>
      </c>
      <c r="H300" s="2">
        <v>64139</v>
      </c>
    </row>
    <row r="301" spans="1:8" x14ac:dyDescent="0.3">
      <c r="A301" t="s">
        <v>917</v>
      </c>
      <c r="B301" t="s">
        <v>282</v>
      </c>
      <c r="C301" t="s">
        <v>283</v>
      </c>
      <c r="D301" t="s">
        <v>170</v>
      </c>
      <c r="E301" t="s">
        <v>171</v>
      </c>
      <c r="F301" t="str">
        <f>IFERROR(INDEX(Aux!E:E,MATCH(Dados!E301,Aux!D:D,0)),INDEX(Aux!K:K,MATCH(Dados!B301,Aux!I:I,0)))</f>
        <v>Direita</v>
      </c>
      <c r="G301" s="2">
        <v>63658</v>
      </c>
      <c r="H301" s="2">
        <v>0</v>
      </c>
    </row>
    <row r="302" spans="1:8" x14ac:dyDescent="0.3">
      <c r="A302" t="s">
        <v>918</v>
      </c>
      <c r="B302" t="s">
        <v>737</v>
      </c>
      <c r="C302" t="s">
        <v>738</v>
      </c>
      <c r="D302" t="s">
        <v>292</v>
      </c>
      <c r="E302" t="s">
        <v>293</v>
      </c>
      <c r="F302" t="str">
        <f>IFERROR(INDEX(Aux!E:E,MATCH(Dados!E302,Aux!D:D,0)),INDEX(Aux!K:K,MATCH(Dados!B302,Aux!I:I,0)))</f>
        <v>Direita</v>
      </c>
      <c r="G302" s="2">
        <v>63115</v>
      </c>
      <c r="H302" s="2">
        <v>0</v>
      </c>
    </row>
    <row r="303" spans="1:8" x14ac:dyDescent="0.3">
      <c r="A303" t="s">
        <v>917</v>
      </c>
      <c r="B303" t="s">
        <v>785</v>
      </c>
      <c r="C303" t="s">
        <v>786</v>
      </c>
      <c r="D303" t="s">
        <v>100</v>
      </c>
      <c r="E303" t="s">
        <v>785</v>
      </c>
      <c r="F303" t="str">
        <f>IFERROR(INDEX(Aux!E:E,MATCH(Dados!E303,Aux!D:D,0)),INDEX(Aux!K:K,MATCH(Dados!B303,Aux!I:I,0)))</f>
        <v>Centro direita</v>
      </c>
      <c r="G303" s="2">
        <v>62963</v>
      </c>
      <c r="H303" s="2">
        <v>0</v>
      </c>
    </row>
    <row r="304" spans="1:8" x14ac:dyDescent="0.3">
      <c r="A304" t="s">
        <v>932</v>
      </c>
      <c r="B304" t="s">
        <v>831</v>
      </c>
      <c r="C304" t="s">
        <v>832</v>
      </c>
      <c r="D304" t="s">
        <v>92</v>
      </c>
      <c r="E304" t="s">
        <v>93</v>
      </c>
      <c r="F304" t="str">
        <f>IFERROR(INDEX(Aux!E:E,MATCH(Dados!E304,Aux!D:D,0)),INDEX(Aux!K:K,MATCH(Dados!B304,Aux!I:I,0)))</f>
        <v>Esquerda</v>
      </c>
      <c r="G304" s="2">
        <v>62546</v>
      </c>
      <c r="H304" s="2">
        <v>0</v>
      </c>
    </row>
    <row r="305" spans="1:8" x14ac:dyDescent="0.3">
      <c r="A305" t="s">
        <v>917</v>
      </c>
      <c r="B305" t="s">
        <v>540</v>
      </c>
      <c r="C305" t="s">
        <v>541</v>
      </c>
      <c r="D305" t="s">
        <v>100</v>
      </c>
      <c r="E305" t="s">
        <v>540</v>
      </c>
      <c r="F305" t="str">
        <f>IFERROR(INDEX(Aux!E:E,MATCH(Dados!E305,Aux!D:D,0)),INDEX(Aux!K:K,MATCH(Dados!B305,Aux!I:I,0)))</f>
        <v>Esquerda</v>
      </c>
      <c r="G305" s="2">
        <v>61949</v>
      </c>
      <c r="H305" s="2">
        <v>104478</v>
      </c>
    </row>
    <row r="306" spans="1:8" x14ac:dyDescent="0.3">
      <c r="A306" t="s">
        <v>921</v>
      </c>
      <c r="B306" t="s">
        <v>857</v>
      </c>
      <c r="C306" t="s">
        <v>858</v>
      </c>
      <c r="D306" t="s">
        <v>863</v>
      </c>
      <c r="E306" t="s">
        <v>862</v>
      </c>
      <c r="F306" t="str">
        <f>IFERROR(INDEX(Aux!E:E,MATCH(Dados!E306,Aux!D:D,0)),INDEX(Aux!K:K,MATCH(Dados!B306,Aux!I:I,0)))</f>
        <v>Centro</v>
      </c>
      <c r="G306" s="2">
        <v>61839</v>
      </c>
      <c r="H306" s="2">
        <v>0</v>
      </c>
    </row>
    <row r="307" spans="1:8" x14ac:dyDescent="0.3">
      <c r="A307" t="s">
        <v>919</v>
      </c>
      <c r="B307" t="s">
        <v>783</v>
      </c>
      <c r="C307" t="s">
        <v>784</v>
      </c>
      <c r="D307" t="s">
        <v>198</v>
      </c>
      <c r="E307" t="s">
        <v>199</v>
      </c>
      <c r="F307" t="str">
        <f>IFERROR(INDEX(Aux!E:E,MATCH(Dados!E307,Aux!D:D,0)),INDEX(Aux!K:K,MATCH(Dados!B307,Aux!I:I,0)))</f>
        <v>Direita</v>
      </c>
      <c r="G307" s="2">
        <v>61771</v>
      </c>
      <c r="H307" s="2">
        <v>56069</v>
      </c>
    </row>
    <row r="308" spans="1:8" x14ac:dyDescent="0.3">
      <c r="A308" t="s">
        <v>918</v>
      </c>
      <c r="B308" t="s">
        <v>540</v>
      </c>
      <c r="C308" t="s">
        <v>541</v>
      </c>
      <c r="D308" t="s">
        <v>486</v>
      </c>
      <c r="E308" t="s">
        <v>540</v>
      </c>
      <c r="F308" t="str">
        <f>IFERROR(INDEX(Aux!E:E,MATCH(Dados!E308,Aux!D:D,0)),INDEX(Aux!K:K,MATCH(Dados!B308,Aux!I:I,0)))</f>
        <v>Esquerda</v>
      </c>
      <c r="G308" s="2">
        <v>61420</v>
      </c>
      <c r="H308" s="2">
        <v>107385</v>
      </c>
    </row>
    <row r="309" spans="1:8" x14ac:dyDescent="0.3">
      <c r="A309" t="s">
        <v>928</v>
      </c>
      <c r="B309" t="s">
        <v>875</v>
      </c>
      <c r="C309" t="s">
        <v>876</v>
      </c>
      <c r="D309" t="s">
        <v>172</v>
      </c>
      <c r="E309" t="s">
        <v>173</v>
      </c>
      <c r="F309" t="str">
        <f>IFERROR(INDEX(Aux!E:E,MATCH(Dados!E309,Aux!D:D,0)),INDEX(Aux!K:K,MATCH(Dados!B309,Aux!I:I,0)))</f>
        <v>Centro</v>
      </c>
      <c r="G309" s="2">
        <v>61134</v>
      </c>
      <c r="H309" s="2">
        <v>0</v>
      </c>
    </row>
    <row r="310" spans="1:8" x14ac:dyDescent="0.3">
      <c r="A310" t="s">
        <v>934</v>
      </c>
      <c r="B310" t="s">
        <v>785</v>
      </c>
      <c r="C310" t="s">
        <v>786</v>
      </c>
      <c r="D310" t="s">
        <v>100</v>
      </c>
      <c r="E310" t="s">
        <v>785</v>
      </c>
      <c r="F310" t="str">
        <f>IFERROR(INDEX(Aux!E:E,MATCH(Dados!E310,Aux!D:D,0)),INDEX(Aux!K:K,MATCH(Dados!B310,Aux!I:I,0)))</f>
        <v>Centro direita</v>
      </c>
      <c r="G310" s="2">
        <v>61026</v>
      </c>
      <c r="H310" s="2">
        <v>0</v>
      </c>
    </row>
    <row r="311" spans="1:8" x14ac:dyDescent="0.3">
      <c r="A311" t="s">
        <v>933</v>
      </c>
      <c r="B311" t="s">
        <v>799</v>
      </c>
      <c r="C311" t="s">
        <v>800</v>
      </c>
      <c r="D311" t="s">
        <v>214</v>
      </c>
      <c r="E311" t="s">
        <v>215</v>
      </c>
      <c r="F311" t="str">
        <f>IFERROR(INDEX(Aux!E:E,MATCH(Dados!E311,Aux!D:D,0)),INDEX(Aux!K:K,MATCH(Dados!B311,Aux!I:I,0)))</f>
        <v>Centro</v>
      </c>
      <c r="G311" s="2">
        <v>60900</v>
      </c>
      <c r="H311" s="2">
        <v>0</v>
      </c>
    </row>
    <row r="312" spans="1:8" x14ac:dyDescent="0.3">
      <c r="A312" t="s">
        <v>933</v>
      </c>
      <c r="B312" t="s">
        <v>817</v>
      </c>
      <c r="C312" t="s">
        <v>818</v>
      </c>
      <c r="D312" t="s">
        <v>214</v>
      </c>
      <c r="E312" t="s">
        <v>215</v>
      </c>
      <c r="F312" t="str">
        <f>IFERROR(INDEX(Aux!E:E,MATCH(Dados!E312,Aux!D:D,0)),INDEX(Aux!K:K,MATCH(Dados!B312,Aux!I:I,0)))</f>
        <v>Centro</v>
      </c>
      <c r="G312" s="2">
        <v>60631</v>
      </c>
      <c r="H312" s="2">
        <v>0</v>
      </c>
    </row>
    <row r="313" spans="1:8" x14ac:dyDescent="0.3">
      <c r="A313" t="s">
        <v>929</v>
      </c>
      <c r="B313" t="s">
        <v>690</v>
      </c>
      <c r="C313" t="s">
        <v>691</v>
      </c>
      <c r="D313" t="s">
        <v>426</v>
      </c>
      <c r="E313" t="s">
        <v>427</v>
      </c>
      <c r="F313" t="str">
        <f>IFERROR(INDEX(Aux!E:E,MATCH(Dados!E313,Aux!D:D,0)),INDEX(Aux!K:K,MATCH(Dados!B313,Aux!I:I,0)))</f>
        <v>Centro</v>
      </c>
      <c r="G313" s="2">
        <v>60590</v>
      </c>
      <c r="H313" s="2">
        <v>0</v>
      </c>
    </row>
    <row r="314" spans="1:8" x14ac:dyDescent="0.3">
      <c r="A314" t="s">
        <v>924</v>
      </c>
      <c r="B314" t="s">
        <v>716</v>
      </c>
      <c r="C314" t="s">
        <v>717</v>
      </c>
      <c r="D314" t="s">
        <v>54</v>
      </c>
      <c r="E314" t="s">
        <v>55</v>
      </c>
      <c r="F314" t="str">
        <f>IFERROR(INDEX(Aux!E:E,MATCH(Dados!E314,Aux!D:D,0)),INDEX(Aux!K:K,MATCH(Dados!B314,Aux!I:I,0)))</f>
        <v>Centro esquerda</v>
      </c>
      <c r="G314" s="2">
        <v>60356</v>
      </c>
      <c r="H314" s="2">
        <v>28259</v>
      </c>
    </row>
    <row r="315" spans="1:8" x14ac:dyDescent="0.3">
      <c r="A315" t="s">
        <v>929</v>
      </c>
      <c r="B315" t="s">
        <v>831</v>
      </c>
      <c r="C315" t="s">
        <v>832</v>
      </c>
      <c r="D315" t="s">
        <v>426</v>
      </c>
      <c r="E315" t="s">
        <v>427</v>
      </c>
      <c r="F315" t="str">
        <f>IFERROR(INDEX(Aux!E:E,MATCH(Dados!E315,Aux!D:D,0)),INDEX(Aux!K:K,MATCH(Dados!B315,Aux!I:I,0)))</f>
        <v>Centro</v>
      </c>
      <c r="G315" s="2">
        <v>59961</v>
      </c>
      <c r="H315" s="2">
        <v>0</v>
      </c>
    </row>
    <row r="316" spans="1:8" x14ac:dyDescent="0.3">
      <c r="A316" t="s">
        <v>920</v>
      </c>
      <c r="B316" t="s">
        <v>440</v>
      </c>
      <c r="C316" t="s">
        <v>441</v>
      </c>
      <c r="D316" t="s">
        <v>208</v>
      </c>
      <c r="E316" t="s">
        <v>209</v>
      </c>
      <c r="F316" t="str">
        <f>IFERROR(INDEX(Aux!E:E,MATCH(Dados!E316,Aux!D:D,0)),INDEX(Aux!K:K,MATCH(Dados!B316,Aux!I:I,0)))</f>
        <v>Indefinido</v>
      </c>
      <c r="G316" s="2">
        <v>59746</v>
      </c>
      <c r="H316" s="2">
        <v>0</v>
      </c>
    </row>
    <row r="317" spans="1:8" x14ac:dyDescent="0.3">
      <c r="A317" t="s">
        <v>930</v>
      </c>
      <c r="B317" t="s">
        <v>902</v>
      </c>
      <c r="C317" t="s">
        <v>902</v>
      </c>
      <c r="D317" t="s">
        <v>157</v>
      </c>
      <c r="E317" t="s">
        <v>158</v>
      </c>
      <c r="F317" t="str">
        <f>IFERROR(INDEX(Aux!E:E,MATCH(Dados!E317,Aux!D:D,0)),INDEX(Aux!K:K,MATCH(Dados!B317,Aux!I:I,0)))</f>
        <v>Centro</v>
      </c>
      <c r="G317" s="2">
        <v>59413</v>
      </c>
      <c r="H317" s="2">
        <v>0</v>
      </c>
    </row>
    <row r="318" spans="1:8" x14ac:dyDescent="0.3">
      <c r="A318" t="s">
        <v>936</v>
      </c>
      <c r="B318" t="s">
        <v>641</v>
      </c>
      <c r="C318" t="s">
        <v>642</v>
      </c>
      <c r="D318" t="s">
        <v>280</v>
      </c>
      <c r="E318" t="s">
        <v>281</v>
      </c>
      <c r="F318" t="str">
        <f>IFERROR(INDEX(Aux!E:E,MATCH(Dados!E318,Aux!D:D,0)),INDEX(Aux!K:K,MATCH(Dados!B318,Aux!I:I,0)))</f>
        <v>Centro</v>
      </c>
      <c r="G318" s="2">
        <v>58726</v>
      </c>
      <c r="H318" s="2">
        <v>13167</v>
      </c>
    </row>
    <row r="319" spans="1:8" x14ac:dyDescent="0.3">
      <c r="A319" t="s">
        <v>928</v>
      </c>
      <c r="B319" t="s">
        <v>893</v>
      </c>
      <c r="C319" t="s">
        <v>894</v>
      </c>
      <c r="D319" t="s">
        <v>90</v>
      </c>
      <c r="E319" t="s">
        <v>91</v>
      </c>
      <c r="F319" t="str">
        <f>IFERROR(INDEX(Aux!E:E,MATCH(Dados!E319,Aux!D:D,0)),INDEX(Aux!K:K,MATCH(Dados!B319,Aux!I:I,0)))</f>
        <v>Indefinido</v>
      </c>
      <c r="G319" s="2">
        <v>58590</v>
      </c>
      <c r="H319" s="2">
        <v>0</v>
      </c>
    </row>
    <row r="320" spans="1:8" x14ac:dyDescent="0.3">
      <c r="A320" t="s">
        <v>920</v>
      </c>
      <c r="B320" t="s">
        <v>871</v>
      </c>
      <c r="C320" t="s">
        <v>872</v>
      </c>
      <c r="D320" t="s">
        <v>492</v>
      </c>
      <c r="E320" t="s">
        <v>493</v>
      </c>
      <c r="F320" t="str">
        <f>IFERROR(INDEX(Aux!E:E,MATCH(Dados!E320,Aux!D:D,0)),INDEX(Aux!K:K,MATCH(Dados!B320,Aux!I:I,0)))</f>
        <v>Centro</v>
      </c>
      <c r="G320" s="2">
        <v>57919</v>
      </c>
      <c r="H320" s="2">
        <v>0</v>
      </c>
    </row>
    <row r="321" spans="1:8" x14ac:dyDescent="0.3">
      <c r="A321" t="s">
        <v>932</v>
      </c>
      <c r="B321" t="s">
        <v>599</v>
      </c>
      <c r="C321" t="s">
        <v>600</v>
      </c>
      <c r="D321" t="s">
        <v>619</v>
      </c>
      <c r="E321" t="s">
        <v>620</v>
      </c>
      <c r="F321" t="str">
        <f>IFERROR(INDEX(Aux!E:E,MATCH(Dados!E321,Aux!D:D,0)),INDEX(Aux!K:K,MATCH(Dados!B321,Aux!I:I,0)))</f>
        <v>Indefinido</v>
      </c>
      <c r="G321" s="2">
        <v>56912</v>
      </c>
      <c r="H321" s="2">
        <v>0</v>
      </c>
    </row>
    <row r="322" spans="1:8" x14ac:dyDescent="0.3">
      <c r="A322" t="s">
        <v>930</v>
      </c>
      <c r="B322" t="s">
        <v>206</v>
      </c>
      <c r="C322" t="s">
        <v>207</v>
      </c>
      <c r="D322" t="s">
        <v>228</v>
      </c>
      <c r="E322" t="s">
        <v>229</v>
      </c>
      <c r="F322" t="str">
        <f>IFERROR(INDEX(Aux!E:E,MATCH(Dados!E322,Aux!D:D,0)),INDEX(Aux!K:K,MATCH(Dados!B322,Aux!I:I,0)))</f>
        <v>Indefinido</v>
      </c>
      <c r="G322" s="2">
        <v>56682</v>
      </c>
      <c r="H322" s="2">
        <v>0</v>
      </c>
    </row>
    <row r="323" spans="1:8" x14ac:dyDescent="0.3">
      <c r="A323" t="s">
        <v>934</v>
      </c>
      <c r="B323" t="s">
        <v>770</v>
      </c>
      <c r="C323" t="s">
        <v>771</v>
      </c>
      <c r="D323" t="s">
        <v>16</v>
      </c>
      <c r="E323" t="s">
        <v>17</v>
      </c>
      <c r="F323" t="str">
        <f>IFERROR(INDEX(Aux!E:E,MATCH(Dados!E323,Aux!D:D,0)),INDEX(Aux!K:K,MATCH(Dados!B323,Aux!I:I,0)))</f>
        <v>Centro direita</v>
      </c>
      <c r="G323" s="2">
        <v>56488</v>
      </c>
      <c r="H323" s="2">
        <v>0</v>
      </c>
    </row>
    <row r="324" spans="1:8" x14ac:dyDescent="0.3">
      <c r="A324" t="s">
        <v>917</v>
      </c>
      <c r="B324" t="s">
        <v>4</v>
      </c>
      <c r="C324" t="s">
        <v>5</v>
      </c>
      <c r="D324" t="s">
        <v>98</v>
      </c>
      <c r="E324" t="s">
        <v>99</v>
      </c>
      <c r="F324" t="str">
        <f>IFERROR(INDEX(Aux!E:E,MATCH(Dados!E324,Aux!D:D,0)),INDEX(Aux!K:K,MATCH(Dados!B324,Aux!I:I,0)))</f>
        <v>Esquerda</v>
      </c>
      <c r="G324" s="2">
        <v>56299</v>
      </c>
      <c r="H324" s="2">
        <v>0</v>
      </c>
    </row>
    <row r="325" spans="1:8" x14ac:dyDescent="0.3">
      <c r="A325" t="s">
        <v>925</v>
      </c>
      <c r="B325" t="s">
        <v>902</v>
      </c>
      <c r="C325" t="s">
        <v>902</v>
      </c>
      <c r="D325" t="s">
        <v>28</v>
      </c>
      <c r="E325" t="s">
        <v>29</v>
      </c>
      <c r="F325" t="str">
        <f>IFERROR(INDEX(Aux!E:E,MATCH(Dados!E325,Aux!D:D,0)),INDEX(Aux!K:K,MATCH(Dados!B325,Aux!I:I,0)))</f>
        <v>Centro</v>
      </c>
      <c r="G325" s="2">
        <v>56162</v>
      </c>
      <c r="H325" s="2">
        <v>0</v>
      </c>
    </row>
    <row r="326" spans="1:8" x14ac:dyDescent="0.3">
      <c r="A326" t="s">
        <v>928</v>
      </c>
      <c r="B326" t="s">
        <v>440</v>
      </c>
      <c r="C326" t="s">
        <v>441</v>
      </c>
      <c r="D326" t="s">
        <v>478</v>
      </c>
      <c r="E326" t="s">
        <v>479</v>
      </c>
      <c r="F326" t="str">
        <f>IFERROR(INDEX(Aux!E:E,MATCH(Dados!E326,Aux!D:D,0)),INDEX(Aux!K:K,MATCH(Dados!B326,Aux!I:I,0)))</f>
        <v>Centro</v>
      </c>
      <c r="G326" s="2">
        <v>55931</v>
      </c>
      <c r="H326" s="2">
        <v>64920</v>
      </c>
    </row>
    <row r="327" spans="1:8" x14ac:dyDescent="0.3">
      <c r="A327" t="s">
        <v>922</v>
      </c>
      <c r="B327" t="s">
        <v>334</v>
      </c>
      <c r="C327" t="s">
        <v>335</v>
      </c>
      <c r="D327" t="s">
        <v>355</v>
      </c>
      <c r="E327" t="s">
        <v>356</v>
      </c>
      <c r="F327" t="str">
        <f>IFERROR(INDEX(Aux!E:E,MATCH(Dados!E327,Aux!D:D,0)),INDEX(Aux!K:K,MATCH(Dados!B327,Aux!I:I,0)))</f>
        <v>Centro esquerda</v>
      </c>
      <c r="G327" s="2">
        <v>55816</v>
      </c>
      <c r="H327" s="2">
        <v>0</v>
      </c>
    </row>
    <row r="328" spans="1:8" x14ac:dyDescent="0.3">
      <c r="A328" t="s">
        <v>931</v>
      </c>
      <c r="B328" t="s">
        <v>4</v>
      </c>
      <c r="C328" t="s">
        <v>5</v>
      </c>
      <c r="D328" t="s">
        <v>24</v>
      </c>
      <c r="E328" t="s">
        <v>25</v>
      </c>
      <c r="F328" t="str">
        <f>IFERROR(INDEX(Aux!E:E,MATCH(Dados!E328,Aux!D:D,0)),INDEX(Aux!K:K,MATCH(Dados!B328,Aux!I:I,0)))</f>
        <v>Centro esquerda</v>
      </c>
      <c r="G328" s="2">
        <v>55477</v>
      </c>
      <c r="H328" s="2">
        <v>0</v>
      </c>
    </row>
    <row r="329" spans="1:8" x14ac:dyDescent="0.3">
      <c r="A329" t="s">
        <v>918</v>
      </c>
      <c r="B329" t="s">
        <v>902</v>
      </c>
      <c r="C329" t="s">
        <v>902</v>
      </c>
      <c r="D329" t="s">
        <v>80</v>
      </c>
      <c r="E329" t="s">
        <v>81</v>
      </c>
      <c r="F329" t="str">
        <f>IFERROR(INDEX(Aux!E:E,MATCH(Dados!E329,Aux!D:D,0)),INDEX(Aux!K:K,MATCH(Dados!B329,Aux!I:I,0)))</f>
        <v>Centro</v>
      </c>
      <c r="G329" s="2">
        <v>55276</v>
      </c>
      <c r="H329" s="2">
        <v>14625</v>
      </c>
    </row>
    <row r="330" spans="1:8" x14ac:dyDescent="0.3">
      <c r="A330" t="s">
        <v>922</v>
      </c>
      <c r="B330" t="s">
        <v>135</v>
      </c>
      <c r="C330" t="s">
        <v>136</v>
      </c>
      <c r="D330" t="s">
        <v>196</v>
      </c>
      <c r="E330" t="s">
        <v>197</v>
      </c>
      <c r="F330" t="str">
        <f>IFERROR(INDEX(Aux!E:E,MATCH(Dados!E330,Aux!D:D,0)),INDEX(Aux!K:K,MATCH(Dados!B330,Aux!I:I,0)))</f>
        <v>Centro direita</v>
      </c>
      <c r="G330" s="2">
        <v>55193</v>
      </c>
      <c r="H330" s="2">
        <v>0</v>
      </c>
    </row>
    <row r="331" spans="1:8" x14ac:dyDescent="0.3">
      <c r="A331" t="s">
        <v>928</v>
      </c>
      <c r="B331" t="s">
        <v>599</v>
      </c>
      <c r="C331" t="s">
        <v>600</v>
      </c>
      <c r="D331" t="s">
        <v>90</v>
      </c>
      <c r="E331" t="s">
        <v>91</v>
      </c>
      <c r="F331" t="str">
        <f>IFERROR(INDEX(Aux!E:E,MATCH(Dados!E331,Aux!D:D,0)),INDEX(Aux!K:K,MATCH(Dados!B331,Aux!I:I,0)))</f>
        <v>Indefinido</v>
      </c>
      <c r="G331" s="2">
        <v>54786</v>
      </c>
      <c r="H331" s="2">
        <v>0</v>
      </c>
    </row>
    <row r="332" spans="1:8" x14ac:dyDescent="0.3">
      <c r="A332" t="s">
        <v>933</v>
      </c>
      <c r="B332" t="s">
        <v>902</v>
      </c>
      <c r="C332" t="s">
        <v>902</v>
      </c>
      <c r="D332" t="s">
        <v>214</v>
      </c>
      <c r="E332" t="s">
        <v>215</v>
      </c>
      <c r="F332" t="str">
        <f>IFERROR(INDEX(Aux!E:E,MATCH(Dados!E332,Aux!D:D,0)),INDEX(Aux!K:K,MATCH(Dados!B332,Aux!I:I,0)))</f>
        <v>Centro</v>
      </c>
      <c r="G332" s="2">
        <v>54620</v>
      </c>
      <c r="H332" s="2">
        <v>0</v>
      </c>
    </row>
    <row r="333" spans="1:8" x14ac:dyDescent="0.3">
      <c r="A333" t="s">
        <v>923</v>
      </c>
      <c r="B333" t="s">
        <v>787</v>
      </c>
      <c r="C333" t="s">
        <v>788</v>
      </c>
      <c r="D333" t="s">
        <v>224</v>
      </c>
      <c r="E333" t="s">
        <v>225</v>
      </c>
      <c r="F333" t="str">
        <f>IFERROR(INDEX(Aux!E:E,MATCH(Dados!E333,Aux!D:D,0)),INDEX(Aux!K:K,MATCH(Dados!B333,Aux!I:I,0)))</f>
        <v>Centro</v>
      </c>
      <c r="G333" s="2">
        <v>54407</v>
      </c>
      <c r="H333" s="2">
        <v>0</v>
      </c>
    </row>
    <row r="334" spans="1:8" x14ac:dyDescent="0.3">
      <c r="A334" t="s">
        <v>929</v>
      </c>
      <c r="B334" t="s">
        <v>902</v>
      </c>
      <c r="C334" t="s">
        <v>902</v>
      </c>
      <c r="D334" t="s">
        <v>426</v>
      </c>
      <c r="E334" t="s">
        <v>427</v>
      </c>
      <c r="F334" t="str">
        <f>IFERROR(INDEX(Aux!E:E,MATCH(Dados!E334,Aux!D:D,0)),INDEX(Aux!K:K,MATCH(Dados!B334,Aux!I:I,0)))</f>
        <v>Centro</v>
      </c>
      <c r="G334" s="2">
        <v>54184</v>
      </c>
      <c r="H334" s="2">
        <v>0</v>
      </c>
    </row>
    <row r="335" spans="1:8" x14ac:dyDescent="0.3">
      <c r="A335" t="s">
        <v>923</v>
      </c>
      <c r="B335" t="s">
        <v>871</v>
      </c>
      <c r="C335" t="s">
        <v>872</v>
      </c>
      <c r="D335" t="s">
        <v>812</v>
      </c>
      <c r="E335" t="s">
        <v>804</v>
      </c>
      <c r="F335" t="str">
        <f>IFERROR(INDEX(Aux!E:E,MATCH(Dados!E335,Aux!D:D,0)),INDEX(Aux!K:K,MATCH(Dados!B335,Aux!I:I,0)))</f>
        <v>Esquerda</v>
      </c>
      <c r="G335" s="2">
        <v>54058</v>
      </c>
      <c r="H335" s="2">
        <v>0</v>
      </c>
    </row>
    <row r="336" spans="1:8" x14ac:dyDescent="0.3">
      <c r="A336" t="s">
        <v>933</v>
      </c>
      <c r="B336" t="s">
        <v>135</v>
      </c>
      <c r="C336" t="s">
        <v>136</v>
      </c>
      <c r="D336" t="s">
        <v>100</v>
      </c>
      <c r="E336" t="s">
        <v>135</v>
      </c>
      <c r="F336" t="str">
        <f>IFERROR(INDEX(Aux!E:E,MATCH(Dados!E336,Aux!D:D,0)),INDEX(Aux!K:K,MATCH(Dados!B336,Aux!I:I,0)))</f>
        <v>Centro esquerda</v>
      </c>
      <c r="G336" s="2">
        <v>53793</v>
      </c>
      <c r="H336" s="2">
        <v>1302</v>
      </c>
    </row>
    <row r="337" spans="1:8" x14ac:dyDescent="0.3">
      <c r="A337" t="s">
        <v>931</v>
      </c>
      <c r="B337" t="s">
        <v>875</v>
      </c>
      <c r="C337" t="s">
        <v>876</v>
      </c>
      <c r="D337" t="s">
        <v>877</v>
      </c>
      <c r="E337" t="s">
        <v>878</v>
      </c>
      <c r="F337" t="str">
        <f>IFERROR(INDEX(Aux!E:E,MATCH(Dados!E337,Aux!D:D,0)),INDEX(Aux!K:K,MATCH(Dados!B337,Aux!I:I,0)))</f>
        <v>Direita</v>
      </c>
      <c r="G337" s="2">
        <v>53529</v>
      </c>
      <c r="H337" s="2">
        <v>47739</v>
      </c>
    </row>
    <row r="338" spans="1:8" x14ac:dyDescent="0.3">
      <c r="A338" t="s">
        <v>935</v>
      </c>
      <c r="B338" t="s">
        <v>282</v>
      </c>
      <c r="C338" t="s">
        <v>283</v>
      </c>
      <c r="D338" t="s">
        <v>261</v>
      </c>
      <c r="E338" t="s">
        <v>262</v>
      </c>
      <c r="F338" t="str">
        <f>IFERROR(INDEX(Aux!E:E,MATCH(Dados!E338,Aux!D:D,0)),INDEX(Aux!K:K,MATCH(Dados!B338,Aux!I:I,0)))</f>
        <v>Centro</v>
      </c>
      <c r="G338" s="2">
        <v>53424</v>
      </c>
      <c r="H338" s="2">
        <v>6884</v>
      </c>
    </row>
    <row r="339" spans="1:8" x14ac:dyDescent="0.3">
      <c r="A339" t="s">
        <v>932</v>
      </c>
      <c r="B339" t="s">
        <v>4</v>
      </c>
      <c r="C339" t="s">
        <v>5</v>
      </c>
      <c r="D339" t="s">
        <v>92</v>
      </c>
      <c r="E339" t="s">
        <v>93</v>
      </c>
      <c r="F339" t="str">
        <f>IFERROR(INDEX(Aux!E:E,MATCH(Dados!E339,Aux!D:D,0)),INDEX(Aux!K:K,MATCH(Dados!B339,Aux!I:I,0)))</f>
        <v>Esquerda</v>
      </c>
      <c r="G339" s="2">
        <v>52714</v>
      </c>
      <c r="H339" s="2">
        <v>0</v>
      </c>
    </row>
    <row r="340" spans="1:8" x14ac:dyDescent="0.3">
      <c r="A340" t="s">
        <v>931</v>
      </c>
      <c r="B340" t="s">
        <v>488</v>
      </c>
      <c r="C340" t="s">
        <v>489</v>
      </c>
      <c r="D340" t="s">
        <v>222</v>
      </c>
      <c r="E340" t="s">
        <v>223</v>
      </c>
      <c r="F340" t="str">
        <f>IFERROR(INDEX(Aux!E:E,MATCH(Dados!E340,Aux!D:D,0)),INDEX(Aux!K:K,MATCH(Dados!B340,Aux!I:I,0)))</f>
        <v>Centro esquerda</v>
      </c>
      <c r="G340" s="2">
        <v>51978</v>
      </c>
      <c r="H340" s="2">
        <v>0</v>
      </c>
    </row>
    <row r="341" spans="1:8" x14ac:dyDescent="0.3">
      <c r="A341" t="s">
        <v>934</v>
      </c>
      <c r="B341" t="s">
        <v>756</v>
      </c>
      <c r="C341" t="s">
        <v>757</v>
      </c>
      <c r="D341" t="s">
        <v>593</v>
      </c>
      <c r="E341" t="s">
        <v>594</v>
      </c>
      <c r="F341" t="str">
        <f>IFERROR(INDEX(Aux!E:E,MATCH(Dados!E341,Aux!D:D,0)),INDEX(Aux!K:K,MATCH(Dados!B341,Aux!I:I,0)))</f>
        <v>Centro</v>
      </c>
      <c r="G341" s="2">
        <v>51878</v>
      </c>
      <c r="H341" s="2">
        <v>0</v>
      </c>
    </row>
    <row r="342" spans="1:8" x14ac:dyDescent="0.3">
      <c r="A342" t="s">
        <v>915</v>
      </c>
      <c r="B342" t="s">
        <v>783</v>
      </c>
      <c r="C342" t="s">
        <v>784</v>
      </c>
      <c r="D342" t="s">
        <v>100</v>
      </c>
      <c r="E342" t="s">
        <v>783</v>
      </c>
      <c r="F342" t="str">
        <f>IFERROR(INDEX(Aux!E:E,MATCH(Dados!E342,Aux!D:D,0)),INDEX(Aux!K:K,MATCH(Dados!B342,Aux!I:I,0)))</f>
        <v>Esquerda</v>
      </c>
      <c r="G342" s="2">
        <v>51787</v>
      </c>
      <c r="H342" s="2">
        <v>23795</v>
      </c>
    </row>
    <row r="343" spans="1:8" x14ac:dyDescent="0.3">
      <c r="A343" t="s">
        <v>916</v>
      </c>
      <c r="B343" t="s">
        <v>899</v>
      </c>
      <c r="C343" t="s">
        <v>900</v>
      </c>
      <c r="D343" t="s">
        <v>513</v>
      </c>
      <c r="E343" t="s">
        <v>514</v>
      </c>
      <c r="F343" t="str">
        <f>IFERROR(INDEX(Aux!E:E,MATCH(Dados!E343,Aux!D:D,0)),INDEX(Aux!K:K,MATCH(Dados!B343,Aux!I:I,0)))</f>
        <v>Direita</v>
      </c>
      <c r="G343" s="2">
        <v>51680</v>
      </c>
      <c r="H343" s="2">
        <v>0</v>
      </c>
    </row>
    <row r="344" spans="1:8" x14ac:dyDescent="0.3">
      <c r="A344" t="s">
        <v>926</v>
      </c>
      <c r="B344" t="s">
        <v>770</v>
      </c>
      <c r="C344" t="s">
        <v>771</v>
      </c>
      <c r="D344" t="s">
        <v>32</v>
      </c>
      <c r="E344" t="s">
        <v>33</v>
      </c>
      <c r="F344" t="str">
        <f>IFERROR(INDEX(Aux!E:E,MATCH(Dados!E344,Aux!D:D,0)),INDEX(Aux!K:K,MATCH(Dados!B344,Aux!I:I,0)))</f>
        <v>Esquerda</v>
      </c>
      <c r="G344" s="2">
        <v>50909</v>
      </c>
      <c r="H344" s="2">
        <v>0</v>
      </c>
    </row>
    <row r="345" spans="1:8" x14ac:dyDescent="0.3">
      <c r="A345" t="s">
        <v>936</v>
      </c>
      <c r="B345" t="s">
        <v>857</v>
      </c>
      <c r="C345" t="s">
        <v>858</v>
      </c>
      <c r="D345" t="s">
        <v>280</v>
      </c>
      <c r="E345" t="s">
        <v>281</v>
      </c>
      <c r="F345" t="str">
        <f>IFERROR(INDEX(Aux!E:E,MATCH(Dados!E345,Aux!D:D,0)),INDEX(Aux!K:K,MATCH(Dados!B345,Aux!I:I,0)))</f>
        <v>Centro</v>
      </c>
      <c r="G345" s="2">
        <v>50037</v>
      </c>
      <c r="H345" s="2">
        <v>39487</v>
      </c>
    </row>
    <row r="346" spans="1:8" x14ac:dyDescent="0.3">
      <c r="A346" t="s">
        <v>916</v>
      </c>
      <c r="B346" t="s">
        <v>866</v>
      </c>
      <c r="C346" t="s">
        <v>867</v>
      </c>
      <c r="D346" t="s">
        <v>466</v>
      </c>
      <c r="E346" t="s">
        <v>467</v>
      </c>
      <c r="F346" t="str">
        <f>IFERROR(INDEX(Aux!E:E,MATCH(Dados!E346,Aux!D:D,0)),INDEX(Aux!K:K,MATCH(Dados!B346,Aux!I:I,0)))</f>
        <v>Centro esquerda</v>
      </c>
      <c r="G346" s="2">
        <v>49161</v>
      </c>
      <c r="H346" s="2">
        <v>0</v>
      </c>
    </row>
    <row r="347" spans="1:8" x14ac:dyDescent="0.3">
      <c r="A347" t="s">
        <v>916</v>
      </c>
      <c r="B347" t="s">
        <v>388</v>
      </c>
      <c r="C347" t="s">
        <v>389</v>
      </c>
      <c r="D347" t="s">
        <v>324</v>
      </c>
      <c r="E347" t="s">
        <v>325</v>
      </c>
      <c r="F347" t="str">
        <f>IFERROR(INDEX(Aux!E:E,MATCH(Dados!E347,Aux!D:D,0)),INDEX(Aux!K:K,MATCH(Dados!B347,Aux!I:I,0)))</f>
        <v>Direita</v>
      </c>
      <c r="G347" s="2">
        <v>48953</v>
      </c>
      <c r="H347" s="2">
        <v>100567</v>
      </c>
    </row>
    <row r="348" spans="1:8" x14ac:dyDescent="0.3">
      <c r="A348" t="s">
        <v>938</v>
      </c>
      <c r="B348" t="s">
        <v>875</v>
      </c>
      <c r="C348" t="s">
        <v>876</v>
      </c>
      <c r="D348" t="s">
        <v>10</v>
      </c>
      <c r="E348" t="s">
        <v>11</v>
      </c>
      <c r="F348" t="str">
        <f>IFERROR(INDEX(Aux!E:E,MATCH(Dados!E348,Aux!D:D,0)),INDEX(Aux!K:K,MATCH(Dados!B348,Aux!I:I,0)))</f>
        <v>Indefinido</v>
      </c>
      <c r="G348" s="2">
        <v>48748</v>
      </c>
      <c r="H348" s="2">
        <v>0</v>
      </c>
    </row>
    <row r="349" spans="1:8" x14ac:dyDescent="0.3">
      <c r="A349" t="s">
        <v>937</v>
      </c>
      <c r="B349" t="s">
        <v>893</v>
      </c>
      <c r="C349" t="s">
        <v>894</v>
      </c>
      <c r="D349" t="s">
        <v>320</v>
      </c>
      <c r="E349" t="s">
        <v>321</v>
      </c>
      <c r="F349" t="str">
        <f>IFERROR(INDEX(Aux!E:E,MATCH(Dados!E349,Aux!D:D,0)),INDEX(Aux!K:K,MATCH(Dados!B349,Aux!I:I,0)))</f>
        <v>Indefinido</v>
      </c>
      <c r="G349" s="2">
        <v>47668</v>
      </c>
      <c r="H349" s="2">
        <v>0</v>
      </c>
    </row>
    <row r="350" spans="1:8" x14ac:dyDescent="0.3">
      <c r="A350" t="s">
        <v>932</v>
      </c>
      <c r="B350" t="s">
        <v>770</v>
      </c>
      <c r="C350" t="s">
        <v>771</v>
      </c>
      <c r="D350" t="s">
        <v>92</v>
      </c>
      <c r="E350" t="s">
        <v>93</v>
      </c>
      <c r="F350" t="str">
        <f>IFERROR(INDEX(Aux!E:E,MATCH(Dados!E350,Aux!D:D,0)),INDEX(Aux!K:K,MATCH(Dados!B350,Aux!I:I,0)))</f>
        <v>Esquerda</v>
      </c>
      <c r="G350" s="2">
        <v>47345</v>
      </c>
      <c r="H350" s="2">
        <v>0</v>
      </c>
    </row>
    <row r="351" spans="1:8" x14ac:dyDescent="0.3">
      <c r="A351" t="s">
        <v>932</v>
      </c>
      <c r="B351" t="s">
        <v>641</v>
      </c>
      <c r="C351" t="s">
        <v>642</v>
      </c>
      <c r="D351" t="s">
        <v>436</v>
      </c>
      <c r="E351" t="s">
        <v>437</v>
      </c>
      <c r="F351" t="str">
        <f>IFERROR(INDEX(Aux!E:E,MATCH(Dados!E351,Aux!D:D,0)),INDEX(Aux!K:K,MATCH(Dados!B351,Aux!I:I,0)))</f>
        <v>Centro direita</v>
      </c>
      <c r="G351" s="2">
        <v>47118</v>
      </c>
      <c r="H351" s="2">
        <v>0</v>
      </c>
    </row>
    <row r="352" spans="1:8" x14ac:dyDescent="0.3">
      <c r="A352" t="s">
        <v>926</v>
      </c>
      <c r="B352" t="s">
        <v>737</v>
      </c>
      <c r="C352" t="s">
        <v>738</v>
      </c>
      <c r="D352" t="s">
        <v>424</v>
      </c>
      <c r="E352" t="s">
        <v>425</v>
      </c>
      <c r="F352" t="str">
        <f>IFERROR(INDEX(Aux!E:E,MATCH(Dados!E352,Aux!D:D,0)),INDEX(Aux!K:K,MATCH(Dados!B352,Aux!I:I,0)))</f>
        <v>Centro esquerda</v>
      </c>
      <c r="G352" s="2">
        <v>47030</v>
      </c>
      <c r="H352" s="2">
        <v>0</v>
      </c>
    </row>
    <row r="353" spans="1:8" x14ac:dyDescent="0.3">
      <c r="A353" t="s">
        <v>928</v>
      </c>
      <c r="B353" t="s">
        <v>135</v>
      </c>
      <c r="C353" t="s">
        <v>136</v>
      </c>
      <c r="D353" t="s">
        <v>172</v>
      </c>
      <c r="E353" t="s">
        <v>173</v>
      </c>
      <c r="F353" t="str">
        <f>IFERROR(INDEX(Aux!E:E,MATCH(Dados!E353,Aux!D:D,0)),INDEX(Aux!K:K,MATCH(Dados!B353,Aux!I:I,0)))</f>
        <v>Centro</v>
      </c>
      <c r="G353" s="2">
        <v>46924</v>
      </c>
      <c r="H353" s="2">
        <v>0</v>
      </c>
    </row>
    <row r="354" spans="1:8" x14ac:dyDescent="0.3">
      <c r="A354" t="s">
        <v>924</v>
      </c>
      <c r="B354" t="s">
        <v>893</v>
      </c>
      <c r="C354" t="s">
        <v>894</v>
      </c>
      <c r="D354" t="s">
        <v>531</v>
      </c>
      <c r="E354" t="s">
        <v>495</v>
      </c>
      <c r="F354" t="str">
        <f>IFERROR(INDEX(Aux!E:E,MATCH(Dados!E354,Aux!D:D,0)),INDEX(Aux!K:K,MATCH(Dados!B354,Aux!I:I,0)))</f>
        <v>Indefinido</v>
      </c>
      <c r="G354" s="2">
        <v>46531</v>
      </c>
      <c r="H354" s="2">
        <v>0</v>
      </c>
    </row>
    <row r="355" spans="1:8" x14ac:dyDescent="0.3">
      <c r="A355" t="s">
        <v>917</v>
      </c>
      <c r="B355" t="s">
        <v>770</v>
      </c>
      <c r="C355" t="s">
        <v>771</v>
      </c>
      <c r="D355" t="s">
        <v>591</v>
      </c>
      <c r="E355" t="s">
        <v>592</v>
      </c>
      <c r="F355" t="str">
        <f>IFERROR(INDEX(Aux!E:E,MATCH(Dados!E355,Aux!D:D,0)),INDEX(Aux!K:K,MATCH(Dados!B355,Aux!I:I,0)))</f>
        <v>Centro direita</v>
      </c>
      <c r="G355" s="2">
        <v>46339</v>
      </c>
      <c r="H355" s="2">
        <v>45364</v>
      </c>
    </row>
    <row r="356" spans="1:8" x14ac:dyDescent="0.3">
      <c r="A356" t="s">
        <v>923</v>
      </c>
      <c r="B356" t="s">
        <v>690</v>
      </c>
      <c r="C356" t="s">
        <v>691</v>
      </c>
      <c r="D356" t="s">
        <v>296</v>
      </c>
      <c r="E356" t="s">
        <v>297</v>
      </c>
      <c r="F356" t="str">
        <f>IFERROR(INDEX(Aux!E:E,MATCH(Dados!E356,Aux!D:D,0)),INDEX(Aux!K:K,MATCH(Dados!B356,Aux!I:I,0)))</f>
        <v>Centro</v>
      </c>
      <c r="G356" s="2">
        <v>46267</v>
      </c>
      <c r="H356" s="2">
        <v>0</v>
      </c>
    </row>
    <row r="357" spans="1:8" x14ac:dyDescent="0.3">
      <c r="A357" t="s">
        <v>935</v>
      </c>
      <c r="B357" t="s">
        <v>488</v>
      </c>
      <c r="C357" t="s">
        <v>489</v>
      </c>
      <c r="D357" t="s">
        <v>470</v>
      </c>
      <c r="E357" t="s">
        <v>471</v>
      </c>
      <c r="F357" t="str">
        <f>IFERROR(INDEX(Aux!E:E,MATCH(Dados!E357,Aux!D:D,0)),INDEX(Aux!K:K,MATCH(Dados!B357,Aux!I:I,0)))</f>
        <v>Centro esquerda</v>
      </c>
      <c r="G357" s="2">
        <v>45984</v>
      </c>
      <c r="H357" s="2">
        <v>0</v>
      </c>
    </row>
    <row r="358" spans="1:8" x14ac:dyDescent="0.3">
      <c r="A358" t="s">
        <v>939</v>
      </c>
      <c r="B358" t="s">
        <v>857</v>
      </c>
      <c r="C358" t="s">
        <v>858</v>
      </c>
      <c r="D358" t="s">
        <v>568</v>
      </c>
      <c r="E358" t="s">
        <v>569</v>
      </c>
      <c r="F358" t="str">
        <f>IFERROR(INDEX(Aux!E:E,MATCH(Dados!E358,Aux!D:D,0)),INDEX(Aux!K:K,MATCH(Dados!B358,Aux!I:I,0)))</f>
        <v>Centro direita</v>
      </c>
      <c r="G358" s="2">
        <v>45047</v>
      </c>
      <c r="H358" s="2">
        <v>0</v>
      </c>
    </row>
    <row r="359" spans="1:8" x14ac:dyDescent="0.3">
      <c r="A359" t="s">
        <v>931</v>
      </c>
      <c r="B359" t="s">
        <v>440</v>
      </c>
      <c r="C359" t="s">
        <v>441</v>
      </c>
      <c r="D359" t="s">
        <v>24</v>
      </c>
      <c r="E359" t="s">
        <v>25</v>
      </c>
      <c r="F359" t="str">
        <f>IFERROR(INDEX(Aux!E:E,MATCH(Dados!E359,Aux!D:D,0)),INDEX(Aux!K:K,MATCH(Dados!B359,Aux!I:I,0)))</f>
        <v>Centro esquerda</v>
      </c>
      <c r="G359" s="2">
        <v>44789</v>
      </c>
      <c r="H359" s="2">
        <v>0</v>
      </c>
    </row>
    <row r="360" spans="1:8" x14ac:dyDescent="0.3">
      <c r="A360" t="s">
        <v>930</v>
      </c>
      <c r="B360" t="s">
        <v>4</v>
      </c>
      <c r="C360" t="s">
        <v>5</v>
      </c>
      <c r="D360" t="s">
        <v>20</v>
      </c>
      <c r="E360" t="s">
        <v>21</v>
      </c>
      <c r="F360" t="str">
        <f>IFERROR(INDEX(Aux!E:E,MATCH(Dados!E360,Aux!D:D,0)),INDEX(Aux!K:K,MATCH(Dados!B360,Aux!I:I,0)))</f>
        <v>Centro direita</v>
      </c>
      <c r="G360" s="2">
        <v>44143</v>
      </c>
      <c r="H360" s="2">
        <v>0</v>
      </c>
    </row>
    <row r="361" spans="1:8" x14ac:dyDescent="0.3">
      <c r="A361" t="s">
        <v>937</v>
      </c>
      <c r="B361" t="s">
        <v>599</v>
      </c>
      <c r="C361" t="s">
        <v>600</v>
      </c>
      <c r="D361" t="s">
        <v>320</v>
      </c>
      <c r="E361" t="s">
        <v>321</v>
      </c>
      <c r="F361" t="str">
        <f>IFERROR(INDEX(Aux!E:E,MATCH(Dados!E361,Aux!D:D,0)),INDEX(Aux!K:K,MATCH(Dados!B361,Aux!I:I,0)))</f>
        <v>Indefinido</v>
      </c>
      <c r="G361" s="2">
        <v>44009</v>
      </c>
      <c r="H361" s="2">
        <v>0</v>
      </c>
    </row>
    <row r="362" spans="1:8" x14ac:dyDescent="0.3">
      <c r="A362" t="s">
        <v>928</v>
      </c>
      <c r="B362" t="s">
        <v>4</v>
      </c>
      <c r="C362" t="s">
        <v>5</v>
      </c>
      <c r="D362" t="s">
        <v>90</v>
      </c>
      <c r="E362" t="s">
        <v>91</v>
      </c>
      <c r="F362" t="str">
        <f>IFERROR(INDEX(Aux!E:E,MATCH(Dados!E362,Aux!D:D,0)),INDEX(Aux!K:K,MATCH(Dados!B362,Aux!I:I,0)))</f>
        <v>Indefinido</v>
      </c>
      <c r="G362" s="2">
        <v>43988</v>
      </c>
      <c r="H362" s="2">
        <v>0</v>
      </c>
    </row>
    <row r="363" spans="1:8" x14ac:dyDescent="0.3">
      <c r="A363" t="s">
        <v>931</v>
      </c>
      <c r="B363" t="s">
        <v>787</v>
      </c>
      <c r="C363" t="s">
        <v>788</v>
      </c>
      <c r="D363" t="s">
        <v>24</v>
      </c>
      <c r="E363" t="s">
        <v>25</v>
      </c>
      <c r="F363" t="str">
        <f>IFERROR(INDEX(Aux!E:E,MATCH(Dados!E363,Aux!D:D,0)),INDEX(Aux!K:K,MATCH(Dados!B363,Aux!I:I,0)))</f>
        <v>Centro esquerda</v>
      </c>
      <c r="G363" s="2">
        <v>43888</v>
      </c>
      <c r="H363" s="2">
        <v>0</v>
      </c>
    </row>
    <row r="364" spans="1:8" x14ac:dyDescent="0.3">
      <c r="A364" t="s">
        <v>937</v>
      </c>
      <c r="B364" t="s">
        <v>817</v>
      </c>
      <c r="C364" t="s">
        <v>818</v>
      </c>
      <c r="D364" t="s">
        <v>74</v>
      </c>
      <c r="E364" t="s">
        <v>75</v>
      </c>
      <c r="F364" t="str">
        <f>IFERROR(INDEX(Aux!E:E,MATCH(Dados!E364,Aux!D:D,0)),INDEX(Aux!K:K,MATCH(Dados!B364,Aux!I:I,0)))</f>
        <v>Centro esquerda</v>
      </c>
      <c r="G364" s="2">
        <v>43665</v>
      </c>
      <c r="H364" s="2">
        <v>0</v>
      </c>
    </row>
    <row r="365" spans="1:8" x14ac:dyDescent="0.3">
      <c r="A365" t="s">
        <v>920</v>
      </c>
      <c r="B365" t="s">
        <v>785</v>
      </c>
      <c r="C365" t="s">
        <v>786</v>
      </c>
      <c r="D365" t="s">
        <v>100</v>
      </c>
      <c r="E365" t="s">
        <v>785</v>
      </c>
      <c r="F365" t="str">
        <f>IFERROR(INDEX(Aux!E:E,MATCH(Dados!E365,Aux!D:D,0)),INDEX(Aux!K:K,MATCH(Dados!B365,Aux!I:I,0)))</f>
        <v>Centro direita</v>
      </c>
      <c r="G365" s="2">
        <v>43303</v>
      </c>
      <c r="H365" s="2">
        <v>0</v>
      </c>
    </row>
    <row r="366" spans="1:8" x14ac:dyDescent="0.3">
      <c r="A366" t="s">
        <v>918</v>
      </c>
      <c r="B366" t="s">
        <v>770</v>
      </c>
      <c r="C366" t="s">
        <v>771</v>
      </c>
      <c r="D366" t="s">
        <v>292</v>
      </c>
      <c r="E366" t="s">
        <v>293</v>
      </c>
      <c r="F366" t="str">
        <f>IFERROR(INDEX(Aux!E:E,MATCH(Dados!E366,Aux!D:D,0)),INDEX(Aux!K:K,MATCH(Dados!B366,Aux!I:I,0)))</f>
        <v>Direita</v>
      </c>
      <c r="G366" s="2">
        <v>43150</v>
      </c>
      <c r="H366" s="2">
        <v>0</v>
      </c>
    </row>
    <row r="367" spans="1:8" x14ac:dyDescent="0.3">
      <c r="A367" t="s">
        <v>934</v>
      </c>
      <c r="B367" t="s">
        <v>488</v>
      </c>
      <c r="C367" t="s">
        <v>489</v>
      </c>
      <c r="D367" t="s">
        <v>204</v>
      </c>
      <c r="E367" t="s">
        <v>205</v>
      </c>
      <c r="F367" t="str">
        <f>IFERROR(INDEX(Aux!E:E,MATCH(Dados!E367,Aux!D:D,0)),INDEX(Aux!K:K,MATCH(Dados!B367,Aux!I:I,0)))</f>
        <v>Esquerda</v>
      </c>
      <c r="G367" s="2">
        <v>43079</v>
      </c>
      <c r="H367" s="2">
        <v>0</v>
      </c>
    </row>
    <row r="368" spans="1:8" x14ac:dyDescent="0.3">
      <c r="A368" t="s">
        <v>929</v>
      </c>
      <c r="B368" t="s">
        <v>716</v>
      </c>
      <c r="C368" t="s">
        <v>717</v>
      </c>
      <c r="D368" t="s">
        <v>426</v>
      </c>
      <c r="E368" t="s">
        <v>427</v>
      </c>
      <c r="F368" t="str">
        <f>IFERROR(INDEX(Aux!E:E,MATCH(Dados!E368,Aux!D:D,0)),INDEX(Aux!K:K,MATCH(Dados!B368,Aux!I:I,0)))</f>
        <v>Centro</v>
      </c>
      <c r="G368" s="2">
        <v>42804</v>
      </c>
      <c r="H368" s="2">
        <v>0</v>
      </c>
    </row>
    <row r="369" spans="1:8" x14ac:dyDescent="0.3">
      <c r="A369" t="s">
        <v>923</v>
      </c>
      <c r="B369" t="s">
        <v>282</v>
      </c>
      <c r="C369" t="s">
        <v>283</v>
      </c>
      <c r="D369" t="s">
        <v>296</v>
      </c>
      <c r="E369" t="s">
        <v>297</v>
      </c>
      <c r="F369" t="str">
        <f>IFERROR(INDEX(Aux!E:E,MATCH(Dados!E369,Aux!D:D,0)),INDEX(Aux!K:K,MATCH(Dados!B369,Aux!I:I,0)))</f>
        <v>Centro</v>
      </c>
      <c r="G369" s="2">
        <v>41203</v>
      </c>
      <c r="H369" s="2">
        <v>0</v>
      </c>
    </row>
    <row r="370" spans="1:8" x14ac:dyDescent="0.3">
      <c r="A370" t="s">
        <v>936</v>
      </c>
      <c r="B370" t="s">
        <v>875</v>
      </c>
      <c r="C370" t="s">
        <v>876</v>
      </c>
      <c r="D370" t="s">
        <v>280</v>
      </c>
      <c r="E370" t="s">
        <v>281</v>
      </c>
      <c r="F370" t="str">
        <f>IFERROR(INDEX(Aux!E:E,MATCH(Dados!E370,Aux!D:D,0)),INDEX(Aux!K:K,MATCH(Dados!B370,Aux!I:I,0)))</f>
        <v>Centro</v>
      </c>
      <c r="G370" s="2">
        <v>40719</v>
      </c>
      <c r="H370" s="2">
        <v>94127</v>
      </c>
    </row>
    <row r="371" spans="1:8" x14ac:dyDescent="0.3">
      <c r="A371" t="s">
        <v>932</v>
      </c>
      <c r="B371" t="s">
        <v>893</v>
      </c>
      <c r="C371" t="s">
        <v>894</v>
      </c>
      <c r="D371" t="s">
        <v>619</v>
      </c>
      <c r="E371" t="s">
        <v>620</v>
      </c>
      <c r="F371" t="str">
        <f>IFERROR(INDEX(Aux!E:E,MATCH(Dados!E371,Aux!D:D,0)),INDEX(Aux!K:K,MATCH(Dados!B371,Aux!I:I,0)))</f>
        <v>Indefinido</v>
      </c>
      <c r="G371" s="2">
        <v>40670</v>
      </c>
      <c r="H371" s="2">
        <v>0</v>
      </c>
    </row>
    <row r="372" spans="1:8" x14ac:dyDescent="0.3">
      <c r="A372" t="s">
        <v>935</v>
      </c>
      <c r="B372" t="s">
        <v>716</v>
      </c>
      <c r="C372" t="s">
        <v>717</v>
      </c>
      <c r="D372" t="s">
        <v>64</v>
      </c>
      <c r="E372" t="s">
        <v>65</v>
      </c>
      <c r="F372" t="str">
        <f>IFERROR(INDEX(Aux!E:E,MATCH(Dados!E372,Aux!D:D,0)),INDEX(Aux!K:K,MATCH(Dados!B372,Aux!I:I,0)))</f>
        <v>Esquerda</v>
      </c>
      <c r="G372" s="2">
        <v>40509</v>
      </c>
      <c r="H372" s="2">
        <v>0</v>
      </c>
    </row>
    <row r="373" spans="1:8" x14ac:dyDescent="0.3">
      <c r="A373" t="s">
        <v>936</v>
      </c>
      <c r="B373" t="s">
        <v>756</v>
      </c>
      <c r="C373" t="s">
        <v>757</v>
      </c>
      <c r="D373" t="s">
        <v>60</v>
      </c>
      <c r="E373" t="s">
        <v>61</v>
      </c>
      <c r="F373" t="str">
        <f>IFERROR(INDEX(Aux!E:E,MATCH(Dados!E373,Aux!D:D,0)),INDEX(Aux!K:K,MATCH(Dados!B373,Aux!I:I,0)))</f>
        <v>Centro</v>
      </c>
      <c r="G373" s="2">
        <v>40270</v>
      </c>
      <c r="H373" s="2">
        <v>0</v>
      </c>
    </row>
    <row r="374" spans="1:8" x14ac:dyDescent="0.3">
      <c r="A374" t="s">
        <v>931</v>
      </c>
      <c r="B374" t="s">
        <v>206</v>
      </c>
      <c r="C374" t="s">
        <v>207</v>
      </c>
      <c r="D374" t="s">
        <v>222</v>
      </c>
      <c r="E374" t="s">
        <v>223</v>
      </c>
      <c r="F374" t="str">
        <f>IFERROR(INDEX(Aux!E:E,MATCH(Dados!E374,Aux!D:D,0)),INDEX(Aux!K:K,MATCH(Dados!B374,Aux!I:I,0)))</f>
        <v>Centro esquerda</v>
      </c>
      <c r="G374" s="2">
        <v>40149</v>
      </c>
      <c r="H374" s="2">
        <v>0</v>
      </c>
    </row>
    <row r="375" spans="1:8" x14ac:dyDescent="0.3">
      <c r="A375" t="s">
        <v>938</v>
      </c>
      <c r="B375" t="s">
        <v>831</v>
      </c>
      <c r="C375" t="s">
        <v>832</v>
      </c>
      <c r="D375" t="s">
        <v>10</v>
      </c>
      <c r="E375" t="s">
        <v>11</v>
      </c>
      <c r="F375" t="str">
        <f>IFERROR(INDEX(Aux!E:E,MATCH(Dados!E375,Aux!D:D,0)),INDEX(Aux!K:K,MATCH(Dados!B375,Aux!I:I,0)))</f>
        <v>Indefinido</v>
      </c>
      <c r="G375" s="2">
        <v>40047</v>
      </c>
      <c r="H375" s="2">
        <v>0</v>
      </c>
    </row>
    <row r="376" spans="1:8" x14ac:dyDescent="0.3">
      <c r="A376" t="s">
        <v>938</v>
      </c>
      <c r="B376" t="s">
        <v>817</v>
      </c>
      <c r="C376" t="s">
        <v>818</v>
      </c>
      <c r="D376" t="s">
        <v>100</v>
      </c>
      <c r="E376" t="s">
        <v>817</v>
      </c>
      <c r="F376" t="str">
        <f>IFERROR(INDEX(Aux!E:E,MATCH(Dados!E376,Aux!D:D,0)),INDEX(Aux!K:K,MATCH(Dados!B376,Aux!I:I,0)))</f>
        <v>Centro esquerda</v>
      </c>
      <c r="G376" s="2">
        <v>39735</v>
      </c>
      <c r="H376" s="2">
        <v>24773</v>
      </c>
    </row>
    <row r="377" spans="1:8" x14ac:dyDescent="0.3">
      <c r="A377" t="s">
        <v>915</v>
      </c>
      <c r="B377" t="s">
        <v>787</v>
      </c>
      <c r="C377" t="s">
        <v>788</v>
      </c>
      <c r="D377" t="s">
        <v>278</v>
      </c>
      <c r="E377" t="s">
        <v>279</v>
      </c>
      <c r="F377" t="str">
        <f>IFERROR(INDEX(Aux!E:E,MATCH(Dados!E377,Aux!D:D,0)),INDEX(Aux!K:K,MATCH(Dados!B377,Aux!I:I,0)))</f>
        <v>Centro direita</v>
      </c>
      <c r="G377" s="2">
        <v>39687</v>
      </c>
      <c r="H377" s="2">
        <v>0</v>
      </c>
    </row>
    <row r="378" spans="1:8" x14ac:dyDescent="0.3">
      <c r="A378" t="s">
        <v>917</v>
      </c>
      <c r="B378" t="s">
        <v>135</v>
      </c>
      <c r="C378" t="s">
        <v>136</v>
      </c>
      <c r="D378" t="s">
        <v>170</v>
      </c>
      <c r="E378" t="s">
        <v>171</v>
      </c>
      <c r="F378" t="str">
        <f>IFERROR(INDEX(Aux!E:E,MATCH(Dados!E378,Aux!D:D,0)),INDEX(Aux!K:K,MATCH(Dados!B378,Aux!I:I,0)))</f>
        <v>Direita</v>
      </c>
      <c r="G378" s="2">
        <v>39414</v>
      </c>
      <c r="H378" s="2">
        <v>0</v>
      </c>
    </row>
    <row r="379" spans="1:8" x14ac:dyDescent="0.3">
      <c r="A379" t="s">
        <v>933</v>
      </c>
      <c r="B379" t="s">
        <v>558</v>
      </c>
      <c r="C379" t="s">
        <v>559</v>
      </c>
      <c r="D379" t="s">
        <v>286</v>
      </c>
      <c r="E379" t="s">
        <v>287</v>
      </c>
      <c r="F379" t="str">
        <f>IFERROR(INDEX(Aux!E:E,MATCH(Dados!E379,Aux!D:D,0)),INDEX(Aux!K:K,MATCH(Dados!B379,Aux!I:I,0)))</f>
        <v>Direita</v>
      </c>
      <c r="G379" s="2">
        <v>39410</v>
      </c>
      <c r="H379" s="2">
        <v>42414</v>
      </c>
    </row>
    <row r="380" spans="1:8" x14ac:dyDescent="0.3">
      <c r="A380" t="s">
        <v>934</v>
      </c>
      <c r="B380" t="s">
        <v>206</v>
      </c>
      <c r="C380" t="s">
        <v>207</v>
      </c>
      <c r="D380" t="s">
        <v>16</v>
      </c>
      <c r="E380" t="s">
        <v>17</v>
      </c>
      <c r="F380" t="str">
        <f>IFERROR(INDEX(Aux!E:E,MATCH(Dados!E380,Aux!D:D,0)),INDEX(Aux!K:K,MATCH(Dados!B380,Aux!I:I,0)))</f>
        <v>Centro direita</v>
      </c>
      <c r="G380" s="2">
        <v>39300</v>
      </c>
      <c r="H380" s="2">
        <v>0</v>
      </c>
    </row>
    <row r="381" spans="1:8" x14ac:dyDescent="0.3">
      <c r="A381" t="s">
        <v>926</v>
      </c>
      <c r="B381" t="s">
        <v>785</v>
      </c>
      <c r="C381" t="s">
        <v>786</v>
      </c>
      <c r="D381" t="s">
        <v>100</v>
      </c>
      <c r="E381" t="s">
        <v>785</v>
      </c>
      <c r="F381" t="str">
        <f>IFERROR(INDEX(Aux!E:E,MATCH(Dados!E381,Aux!D:D,0)),INDEX(Aux!K:K,MATCH(Dados!B381,Aux!I:I,0)))</f>
        <v>Centro direita</v>
      </c>
      <c r="G381" s="2">
        <v>39300</v>
      </c>
      <c r="H381" s="2">
        <v>0</v>
      </c>
    </row>
    <row r="382" spans="1:8" x14ac:dyDescent="0.3">
      <c r="A382" t="s">
        <v>928</v>
      </c>
      <c r="B382" t="s">
        <v>871</v>
      </c>
      <c r="C382" t="s">
        <v>872</v>
      </c>
      <c r="D382" t="s">
        <v>712</v>
      </c>
      <c r="E382" t="s">
        <v>713</v>
      </c>
      <c r="F382" t="str">
        <f>IFERROR(INDEX(Aux!E:E,MATCH(Dados!E382,Aux!D:D,0)),INDEX(Aux!K:K,MATCH(Dados!B382,Aux!I:I,0)))</f>
        <v>Esquerda</v>
      </c>
      <c r="G382" s="2">
        <v>39222</v>
      </c>
      <c r="H382" s="2">
        <v>0</v>
      </c>
    </row>
    <row r="383" spans="1:8" x14ac:dyDescent="0.3">
      <c r="A383" t="s">
        <v>938</v>
      </c>
      <c r="B383" t="s">
        <v>799</v>
      </c>
      <c r="C383" t="s">
        <v>800</v>
      </c>
      <c r="D383" t="s">
        <v>500</v>
      </c>
      <c r="E383" t="s">
        <v>501</v>
      </c>
      <c r="F383" t="str">
        <f>IFERROR(INDEX(Aux!E:E,MATCH(Dados!E383,Aux!D:D,0)),INDEX(Aux!K:K,MATCH(Dados!B383,Aux!I:I,0)))</f>
        <v>Direita</v>
      </c>
      <c r="G383" s="2">
        <v>39098</v>
      </c>
      <c r="H383" s="2">
        <v>0</v>
      </c>
    </row>
    <row r="384" spans="1:8" x14ac:dyDescent="0.3">
      <c r="A384" t="s">
        <v>924</v>
      </c>
      <c r="B384" t="s">
        <v>787</v>
      </c>
      <c r="C384" t="s">
        <v>788</v>
      </c>
      <c r="D384" t="s">
        <v>247</v>
      </c>
      <c r="E384" t="s">
        <v>248</v>
      </c>
      <c r="F384" t="str">
        <f>IFERROR(INDEX(Aux!E:E,MATCH(Dados!E384,Aux!D:D,0)),INDEX(Aux!K:K,MATCH(Dados!B384,Aux!I:I,0)))</f>
        <v>Centro</v>
      </c>
      <c r="G384" s="2">
        <v>38940</v>
      </c>
      <c r="H384" s="2">
        <v>0</v>
      </c>
    </row>
    <row r="385" spans="1:8" x14ac:dyDescent="0.3">
      <c r="A385" t="s">
        <v>926</v>
      </c>
      <c r="B385" t="s">
        <v>690</v>
      </c>
      <c r="C385" t="s">
        <v>691</v>
      </c>
      <c r="D385" t="s">
        <v>243</v>
      </c>
      <c r="E385" t="s">
        <v>244</v>
      </c>
      <c r="F385" t="str">
        <f>IFERROR(INDEX(Aux!E:E,MATCH(Dados!E385,Aux!D:D,0)),INDEX(Aux!K:K,MATCH(Dados!B385,Aux!I:I,0)))</f>
        <v>Indefinido</v>
      </c>
      <c r="G385" s="2">
        <v>38880</v>
      </c>
      <c r="H385" s="2">
        <v>0</v>
      </c>
    </row>
    <row r="386" spans="1:8" x14ac:dyDescent="0.3">
      <c r="A386" t="s">
        <v>928</v>
      </c>
      <c r="B386" t="s">
        <v>831</v>
      </c>
      <c r="C386" t="s">
        <v>832</v>
      </c>
      <c r="D386" t="s">
        <v>90</v>
      </c>
      <c r="E386" t="s">
        <v>91</v>
      </c>
      <c r="F386" t="str">
        <f>IFERROR(INDEX(Aux!E:E,MATCH(Dados!E386,Aux!D:D,0)),INDEX(Aux!K:K,MATCH(Dados!B386,Aux!I:I,0)))</f>
        <v>Indefinido</v>
      </c>
      <c r="G386" s="2">
        <v>38847</v>
      </c>
      <c r="H386" s="2">
        <v>0</v>
      </c>
    </row>
    <row r="387" spans="1:8" x14ac:dyDescent="0.3">
      <c r="A387" t="s">
        <v>937</v>
      </c>
      <c r="B387" t="s">
        <v>831</v>
      </c>
      <c r="C387" t="s">
        <v>832</v>
      </c>
      <c r="D387" t="s">
        <v>320</v>
      </c>
      <c r="E387" t="s">
        <v>321</v>
      </c>
      <c r="F387" t="str">
        <f>IFERROR(INDEX(Aux!E:E,MATCH(Dados!E387,Aux!D:D,0)),INDEX(Aux!K:K,MATCH(Dados!B387,Aux!I:I,0)))</f>
        <v>Indefinido</v>
      </c>
      <c r="G387" s="2">
        <v>38809</v>
      </c>
      <c r="H387" s="2">
        <v>0</v>
      </c>
    </row>
    <row r="388" spans="1:8" x14ac:dyDescent="0.3">
      <c r="A388" t="s">
        <v>920</v>
      </c>
      <c r="B388" t="s">
        <v>902</v>
      </c>
      <c r="C388" t="s">
        <v>902</v>
      </c>
      <c r="D388" t="s">
        <v>705</v>
      </c>
      <c r="E388" t="s">
        <v>706</v>
      </c>
      <c r="F388" t="str">
        <f>IFERROR(INDEX(Aux!E:E,MATCH(Dados!E388,Aux!D:D,0)),INDEX(Aux!K:K,MATCH(Dados!B388,Aux!I:I,0)))</f>
        <v>Centro</v>
      </c>
      <c r="G388" s="2">
        <v>38767</v>
      </c>
      <c r="H388" s="2">
        <v>68474</v>
      </c>
    </row>
    <row r="389" spans="1:8" x14ac:dyDescent="0.3">
      <c r="A389" t="s">
        <v>917</v>
      </c>
      <c r="B389" t="s">
        <v>388</v>
      </c>
      <c r="C389" t="s">
        <v>389</v>
      </c>
      <c r="D389" t="s">
        <v>438</v>
      </c>
      <c r="E389" t="s">
        <v>439</v>
      </c>
      <c r="F389" t="str">
        <f>IFERROR(INDEX(Aux!E:E,MATCH(Dados!E389,Aux!D:D,0)),INDEX(Aux!K:K,MATCH(Dados!B389,Aux!I:I,0)))</f>
        <v>Centro</v>
      </c>
      <c r="G389" s="2">
        <v>38130</v>
      </c>
      <c r="H389" s="2">
        <v>0</v>
      </c>
    </row>
    <row r="390" spans="1:8" x14ac:dyDescent="0.3">
      <c r="A390" t="s">
        <v>921</v>
      </c>
      <c r="B390" t="s">
        <v>641</v>
      </c>
      <c r="C390" t="s">
        <v>642</v>
      </c>
      <c r="D390" t="s">
        <v>68</v>
      </c>
      <c r="E390" t="s">
        <v>69</v>
      </c>
      <c r="F390" t="str">
        <f>IFERROR(INDEX(Aux!E:E,MATCH(Dados!E390,Aux!D:D,0)),INDEX(Aux!K:K,MATCH(Dados!B390,Aux!I:I,0)))</f>
        <v>Indefinido</v>
      </c>
      <c r="G390" s="2">
        <v>37645</v>
      </c>
      <c r="H390" s="2">
        <v>0</v>
      </c>
    </row>
    <row r="391" spans="1:8" x14ac:dyDescent="0.3">
      <c r="A391" t="s">
        <v>935</v>
      </c>
      <c r="B391" t="s">
        <v>817</v>
      </c>
      <c r="C391" t="s">
        <v>818</v>
      </c>
      <c r="D391" t="s">
        <v>470</v>
      </c>
      <c r="E391" t="s">
        <v>471</v>
      </c>
      <c r="F391" t="str">
        <f>IFERROR(INDEX(Aux!E:E,MATCH(Dados!E391,Aux!D:D,0)),INDEX(Aux!K:K,MATCH(Dados!B391,Aux!I:I,0)))</f>
        <v>Centro esquerda</v>
      </c>
      <c r="G391" s="2">
        <v>37430</v>
      </c>
      <c r="H391" s="2">
        <v>0</v>
      </c>
    </row>
    <row r="392" spans="1:8" x14ac:dyDescent="0.3">
      <c r="A392" t="s">
        <v>920</v>
      </c>
      <c r="B392" t="s">
        <v>831</v>
      </c>
      <c r="C392" t="s">
        <v>832</v>
      </c>
      <c r="D392" t="s">
        <v>208</v>
      </c>
      <c r="E392" t="s">
        <v>209</v>
      </c>
      <c r="F392" t="str">
        <f>IFERROR(INDEX(Aux!E:E,MATCH(Dados!E392,Aux!D:D,0)),INDEX(Aux!K:K,MATCH(Dados!B392,Aux!I:I,0)))</f>
        <v>Indefinido</v>
      </c>
      <c r="G392" s="2">
        <v>37311</v>
      </c>
      <c r="H392" s="2">
        <v>0</v>
      </c>
    </row>
    <row r="393" spans="1:8" x14ac:dyDescent="0.3">
      <c r="A393" t="s">
        <v>936</v>
      </c>
      <c r="B393" t="s">
        <v>831</v>
      </c>
      <c r="C393" t="s">
        <v>832</v>
      </c>
      <c r="D393" t="s">
        <v>280</v>
      </c>
      <c r="E393" t="s">
        <v>281</v>
      </c>
      <c r="F393" t="str">
        <f>IFERROR(INDEX(Aux!E:E,MATCH(Dados!E393,Aux!D:D,0)),INDEX(Aux!K:K,MATCH(Dados!B393,Aux!I:I,0)))</f>
        <v>Centro</v>
      </c>
      <c r="G393" s="2">
        <v>37289</v>
      </c>
      <c r="H393" s="2">
        <v>57460</v>
      </c>
    </row>
    <row r="394" spans="1:8" x14ac:dyDescent="0.3">
      <c r="A394" t="s">
        <v>916</v>
      </c>
      <c r="B394" t="s">
        <v>135</v>
      </c>
      <c r="C394" t="s">
        <v>136</v>
      </c>
      <c r="D394" t="s">
        <v>200</v>
      </c>
      <c r="E394" t="s">
        <v>201</v>
      </c>
      <c r="F394" t="str">
        <f>IFERROR(INDEX(Aux!E:E,MATCH(Dados!E394,Aux!D:D,0)),INDEX(Aux!K:K,MATCH(Dados!B394,Aux!I:I,0)))</f>
        <v>Direita</v>
      </c>
      <c r="G394" s="2">
        <v>37107</v>
      </c>
      <c r="H394" s="2">
        <v>92183</v>
      </c>
    </row>
    <row r="395" spans="1:8" x14ac:dyDescent="0.3">
      <c r="A395" t="s">
        <v>927</v>
      </c>
      <c r="B395" t="s">
        <v>488</v>
      </c>
      <c r="C395" t="s">
        <v>489</v>
      </c>
      <c r="D395" t="s">
        <v>36</v>
      </c>
      <c r="E395" t="s">
        <v>37</v>
      </c>
      <c r="F395" t="str">
        <f>IFERROR(INDEX(Aux!E:E,MATCH(Dados!E395,Aux!D:D,0)),INDEX(Aux!K:K,MATCH(Dados!B395,Aux!I:I,0)))</f>
        <v>Centro</v>
      </c>
      <c r="G395" s="2">
        <v>37073</v>
      </c>
      <c r="H395" s="2">
        <v>0</v>
      </c>
    </row>
    <row r="396" spans="1:8" x14ac:dyDescent="0.3">
      <c r="A396" t="s">
        <v>927</v>
      </c>
      <c r="B396" t="s">
        <v>716</v>
      </c>
      <c r="C396" t="s">
        <v>717</v>
      </c>
      <c r="D396" t="s">
        <v>233</v>
      </c>
      <c r="E396" t="s">
        <v>234</v>
      </c>
      <c r="F396" t="str">
        <f>IFERROR(INDEX(Aux!E:E,MATCH(Dados!E396,Aux!D:D,0)),INDEX(Aux!K:K,MATCH(Dados!B396,Aux!I:I,0)))</f>
        <v>Centro esquerda</v>
      </c>
      <c r="G396" s="2">
        <v>36975</v>
      </c>
      <c r="H396" s="2">
        <v>0</v>
      </c>
    </row>
    <row r="397" spans="1:8" x14ac:dyDescent="0.3">
      <c r="A397" t="s">
        <v>934</v>
      </c>
      <c r="B397" t="s">
        <v>875</v>
      </c>
      <c r="C397" t="s">
        <v>876</v>
      </c>
      <c r="D397" t="s">
        <v>593</v>
      </c>
      <c r="E397" t="s">
        <v>594</v>
      </c>
      <c r="F397" t="str">
        <f>IFERROR(INDEX(Aux!E:E,MATCH(Dados!E397,Aux!D:D,0)),INDEX(Aux!K:K,MATCH(Dados!B397,Aux!I:I,0)))</f>
        <v>Centro</v>
      </c>
      <c r="G397" s="2">
        <v>36711</v>
      </c>
      <c r="H397" s="2">
        <v>0</v>
      </c>
    </row>
    <row r="398" spans="1:8" x14ac:dyDescent="0.3">
      <c r="A398" t="s">
        <v>936</v>
      </c>
      <c r="B398" t="s">
        <v>799</v>
      </c>
      <c r="C398" t="s">
        <v>800</v>
      </c>
      <c r="D398" t="s">
        <v>184</v>
      </c>
      <c r="E398" t="s">
        <v>185</v>
      </c>
      <c r="F398" t="str">
        <f>IFERROR(INDEX(Aux!E:E,MATCH(Dados!E398,Aux!D:D,0)),INDEX(Aux!K:K,MATCH(Dados!B398,Aux!I:I,0)))</f>
        <v>Esquerda</v>
      </c>
      <c r="G398" s="2">
        <v>36699</v>
      </c>
      <c r="H398" s="2">
        <v>0</v>
      </c>
    </row>
    <row r="399" spans="1:8" x14ac:dyDescent="0.3">
      <c r="A399" t="s">
        <v>917</v>
      </c>
      <c r="B399" t="s">
        <v>440</v>
      </c>
      <c r="C399" t="s">
        <v>441</v>
      </c>
      <c r="D399" t="s">
        <v>98</v>
      </c>
      <c r="E399" t="s">
        <v>99</v>
      </c>
      <c r="F399" t="str">
        <f>IFERROR(INDEX(Aux!E:E,MATCH(Dados!E399,Aux!D:D,0)),INDEX(Aux!K:K,MATCH(Dados!B399,Aux!I:I,0)))</f>
        <v>Esquerda</v>
      </c>
      <c r="G399" s="2">
        <v>36576</v>
      </c>
      <c r="H399" s="2">
        <v>0</v>
      </c>
    </row>
    <row r="400" spans="1:8" x14ac:dyDescent="0.3">
      <c r="A400" t="s">
        <v>934</v>
      </c>
      <c r="B400" t="s">
        <v>817</v>
      </c>
      <c r="C400" t="s">
        <v>818</v>
      </c>
      <c r="D400" t="s">
        <v>204</v>
      </c>
      <c r="E400" t="s">
        <v>205</v>
      </c>
      <c r="F400" t="str">
        <f>IFERROR(INDEX(Aux!E:E,MATCH(Dados!E400,Aux!D:D,0)),INDEX(Aux!K:K,MATCH(Dados!B400,Aux!I:I,0)))</f>
        <v>Esquerda</v>
      </c>
      <c r="G400" s="2">
        <v>36447</v>
      </c>
      <c r="H400" s="2">
        <v>0</v>
      </c>
    </row>
    <row r="401" spans="1:8" x14ac:dyDescent="0.3">
      <c r="A401" t="s">
        <v>925</v>
      </c>
      <c r="B401" t="s">
        <v>641</v>
      </c>
      <c r="C401" t="s">
        <v>642</v>
      </c>
      <c r="D401" t="s">
        <v>342</v>
      </c>
      <c r="E401" t="s">
        <v>341</v>
      </c>
      <c r="F401" t="str">
        <f>IFERROR(INDEX(Aux!E:E,MATCH(Dados!E401,Aux!D:D,0)),INDEX(Aux!K:K,MATCH(Dados!B401,Aux!I:I,0)))</f>
        <v>Centro</v>
      </c>
      <c r="G401" s="2">
        <v>36363</v>
      </c>
      <c r="H401" s="2">
        <v>0</v>
      </c>
    </row>
    <row r="402" spans="1:8" x14ac:dyDescent="0.3">
      <c r="A402" t="s">
        <v>934</v>
      </c>
      <c r="B402" t="s">
        <v>558</v>
      </c>
      <c r="C402" t="s">
        <v>559</v>
      </c>
      <c r="D402" t="s">
        <v>593</v>
      </c>
      <c r="E402" t="s">
        <v>594</v>
      </c>
      <c r="F402" t="str">
        <f>IFERROR(INDEX(Aux!E:E,MATCH(Dados!E402,Aux!D:D,0)),INDEX(Aux!K:K,MATCH(Dados!B402,Aux!I:I,0)))</f>
        <v>Centro</v>
      </c>
      <c r="G402" s="2">
        <v>35512</v>
      </c>
      <c r="H402" s="2">
        <v>0</v>
      </c>
    </row>
    <row r="403" spans="1:8" x14ac:dyDescent="0.3">
      <c r="A403" t="s">
        <v>919</v>
      </c>
      <c r="B403" t="s">
        <v>866</v>
      </c>
      <c r="C403" t="s">
        <v>867</v>
      </c>
      <c r="D403" t="s">
        <v>463</v>
      </c>
      <c r="E403" t="s">
        <v>460</v>
      </c>
      <c r="F403" t="str">
        <f>IFERROR(INDEX(Aux!E:E,MATCH(Dados!E403,Aux!D:D,0)),INDEX(Aux!K:K,MATCH(Dados!B403,Aux!I:I,0)))</f>
        <v>Indefinido</v>
      </c>
      <c r="G403" s="2">
        <v>35344</v>
      </c>
      <c r="H403" s="2">
        <v>0</v>
      </c>
    </row>
    <row r="404" spans="1:8" x14ac:dyDescent="0.3">
      <c r="A404" t="s">
        <v>919</v>
      </c>
      <c r="B404" t="s">
        <v>737</v>
      </c>
      <c r="C404" t="s">
        <v>738</v>
      </c>
      <c r="D404" t="s">
        <v>680</v>
      </c>
      <c r="E404" t="s">
        <v>681</v>
      </c>
      <c r="F404" t="str">
        <f>IFERROR(INDEX(Aux!E:E,MATCH(Dados!E404,Aux!D:D,0)),INDEX(Aux!K:K,MATCH(Dados!B404,Aux!I:I,0)))</f>
        <v>Centro direita</v>
      </c>
      <c r="G404" s="2">
        <v>35027</v>
      </c>
      <c r="H404" s="2">
        <v>83121</v>
      </c>
    </row>
    <row r="405" spans="1:8" x14ac:dyDescent="0.3">
      <c r="A405" t="s">
        <v>917</v>
      </c>
      <c r="B405" t="s">
        <v>690</v>
      </c>
      <c r="C405" t="s">
        <v>691</v>
      </c>
      <c r="D405" t="s">
        <v>710</v>
      </c>
      <c r="E405" t="s">
        <v>711</v>
      </c>
      <c r="F405" t="str">
        <f>IFERROR(INDEX(Aux!E:E,MATCH(Dados!E405,Aux!D:D,0)),INDEX(Aux!K:K,MATCH(Dados!B405,Aux!I:I,0)))</f>
        <v>Centro</v>
      </c>
      <c r="G405" s="2">
        <v>34958</v>
      </c>
      <c r="H405" s="2">
        <v>0</v>
      </c>
    </row>
    <row r="406" spans="1:8" x14ac:dyDescent="0.3">
      <c r="A406" t="s">
        <v>932</v>
      </c>
      <c r="B406" t="s">
        <v>785</v>
      </c>
      <c r="C406" t="s">
        <v>786</v>
      </c>
      <c r="D406" t="s">
        <v>100</v>
      </c>
      <c r="E406" t="s">
        <v>785</v>
      </c>
      <c r="F406" t="str">
        <f>IFERROR(INDEX(Aux!E:E,MATCH(Dados!E406,Aux!D:D,0)),INDEX(Aux!K:K,MATCH(Dados!B406,Aux!I:I,0)))</f>
        <v>Centro direita</v>
      </c>
      <c r="G406" s="2">
        <v>34695</v>
      </c>
      <c r="H406" s="2">
        <v>0</v>
      </c>
    </row>
    <row r="407" spans="1:8" x14ac:dyDescent="0.3">
      <c r="A407" t="s">
        <v>922</v>
      </c>
      <c r="B407" t="s">
        <v>4</v>
      </c>
      <c r="C407" t="s">
        <v>5</v>
      </c>
      <c r="D407" t="s">
        <v>50</v>
      </c>
      <c r="E407" t="s">
        <v>51</v>
      </c>
      <c r="F407" t="str">
        <f>IFERROR(INDEX(Aux!E:E,MATCH(Dados!E407,Aux!D:D,0)),INDEX(Aux!K:K,MATCH(Dados!B407,Aux!I:I,0)))</f>
        <v>Centro</v>
      </c>
      <c r="G407" s="2">
        <v>34619</v>
      </c>
      <c r="H407" s="2">
        <v>0</v>
      </c>
    </row>
    <row r="408" spans="1:8" x14ac:dyDescent="0.3">
      <c r="A408" t="s">
        <v>934</v>
      </c>
      <c r="B408" t="s">
        <v>540</v>
      </c>
      <c r="C408" t="s">
        <v>541</v>
      </c>
      <c r="D408" t="s">
        <v>556</v>
      </c>
      <c r="E408" t="s">
        <v>543</v>
      </c>
      <c r="F408" t="str">
        <f>IFERROR(INDEX(Aux!E:E,MATCH(Dados!E408,Aux!D:D,0)),INDEX(Aux!K:K,MATCH(Dados!B408,Aux!I:I,0)))</f>
        <v>Esquerda</v>
      </c>
      <c r="G408" s="2">
        <v>34385</v>
      </c>
      <c r="H408" s="2">
        <v>0</v>
      </c>
    </row>
    <row r="409" spans="1:8" x14ac:dyDescent="0.3">
      <c r="A409" t="s">
        <v>918</v>
      </c>
      <c r="B409" t="s">
        <v>785</v>
      </c>
      <c r="C409" t="s">
        <v>786</v>
      </c>
      <c r="D409" t="s">
        <v>100</v>
      </c>
      <c r="E409" t="s">
        <v>785</v>
      </c>
      <c r="F409" t="str">
        <f>IFERROR(INDEX(Aux!E:E,MATCH(Dados!E409,Aux!D:D,0)),INDEX(Aux!K:K,MATCH(Dados!B409,Aux!I:I,0)))</f>
        <v>Centro direita</v>
      </c>
      <c r="G409" s="2">
        <v>34313</v>
      </c>
      <c r="H409" s="2">
        <v>0</v>
      </c>
    </row>
    <row r="410" spans="1:8" x14ac:dyDescent="0.3">
      <c r="A410" t="s">
        <v>921</v>
      </c>
      <c r="B410" t="s">
        <v>4</v>
      </c>
      <c r="C410" t="s">
        <v>5</v>
      </c>
      <c r="D410" t="s">
        <v>68</v>
      </c>
      <c r="E410" t="s">
        <v>69</v>
      </c>
      <c r="F410" t="str">
        <f>IFERROR(INDEX(Aux!E:E,MATCH(Dados!E410,Aux!D:D,0)),INDEX(Aux!K:K,MATCH(Dados!B410,Aux!I:I,0)))</f>
        <v>Indefinido</v>
      </c>
      <c r="G410" s="2">
        <v>33987</v>
      </c>
      <c r="H410" s="2">
        <v>0</v>
      </c>
    </row>
    <row r="411" spans="1:8" x14ac:dyDescent="0.3">
      <c r="A411" t="s">
        <v>915</v>
      </c>
      <c r="B411" t="s">
        <v>866</v>
      </c>
      <c r="C411" t="s">
        <v>867</v>
      </c>
      <c r="D411" t="s">
        <v>175</v>
      </c>
      <c r="E411" t="s">
        <v>176</v>
      </c>
      <c r="F411" t="str">
        <f>IFERROR(INDEX(Aux!E:E,MATCH(Dados!E411,Aux!D:D,0)),INDEX(Aux!K:K,MATCH(Dados!B411,Aux!I:I,0)))</f>
        <v>Centro esquerda</v>
      </c>
      <c r="G411" s="2">
        <v>33597</v>
      </c>
      <c r="H411" s="2">
        <v>27177</v>
      </c>
    </row>
    <row r="412" spans="1:8" x14ac:dyDescent="0.3">
      <c r="A412" t="s">
        <v>935</v>
      </c>
      <c r="B412" t="s">
        <v>135</v>
      </c>
      <c r="C412" t="s">
        <v>136</v>
      </c>
      <c r="D412" t="s">
        <v>100</v>
      </c>
      <c r="E412" t="s">
        <v>135</v>
      </c>
      <c r="F412" t="str">
        <f>IFERROR(INDEX(Aux!E:E,MATCH(Dados!E412,Aux!D:D,0)),INDEX(Aux!K:K,MATCH(Dados!B412,Aux!I:I,0)))</f>
        <v>Centro esquerda</v>
      </c>
      <c r="G412" s="2">
        <v>33578</v>
      </c>
      <c r="H412" s="2">
        <v>74958</v>
      </c>
    </row>
    <row r="413" spans="1:8" x14ac:dyDescent="0.3">
      <c r="A413" t="s">
        <v>932</v>
      </c>
      <c r="B413" t="s">
        <v>716</v>
      </c>
      <c r="C413" t="s">
        <v>717</v>
      </c>
      <c r="D413" t="s">
        <v>255</v>
      </c>
      <c r="E413" t="s">
        <v>256</v>
      </c>
      <c r="F413" t="str">
        <f>IFERROR(INDEX(Aux!E:E,MATCH(Dados!E413,Aux!D:D,0)),INDEX(Aux!K:K,MATCH(Dados!B413,Aux!I:I,0)))</f>
        <v>Centro esquerda</v>
      </c>
      <c r="G413" s="2">
        <v>33546</v>
      </c>
      <c r="H413" s="2">
        <v>0</v>
      </c>
    </row>
    <row r="414" spans="1:8" x14ac:dyDescent="0.3">
      <c r="A414" t="s">
        <v>919</v>
      </c>
      <c r="B414" t="s">
        <v>902</v>
      </c>
      <c r="C414" t="s">
        <v>902</v>
      </c>
      <c r="D414" t="s">
        <v>733</v>
      </c>
      <c r="E414" t="s">
        <v>734</v>
      </c>
      <c r="F414" t="str">
        <f>IFERROR(INDEX(Aux!E:E,MATCH(Dados!E414,Aux!D:D,0)),INDEX(Aux!K:K,MATCH(Dados!B414,Aux!I:I,0)))</f>
        <v>Centro</v>
      </c>
      <c r="G414" s="2">
        <v>33544</v>
      </c>
      <c r="H414" s="2">
        <v>0</v>
      </c>
    </row>
    <row r="415" spans="1:8" x14ac:dyDescent="0.3">
      <c r="A415" t="s">
        <v>932</v>
      </c>
      <c r="B415" t="s">
        <v>817</v>
      </c>
      <c r="C415" t="s">
        <v>818</v>
      </c>
      <c r="D415" t="s">
        <v>619</v>
      </c>
      <c r="E415" t="s">
        <v>620</v>
      </c>
      <c r="F415" t="str">
        <f>IFERROR(INDEX(Aux!E:E,MATCH(Dados!E415,Aux!D:D,0)),INDEX(Aux!K:K,MATCH(Dados!B415,Aux!I:I,0)))</f>
        <v>Indefinido</v>
      </c>
      <c r="G415" s="2">
        <v>32825</v>
      </c>
      <c r="H415" s="2">
        <v>0</v>
      </c>
    </row>
    <row r="416" spans="1:8" x14ac:dyDescent="0.3">
      <c r="A416" t="s">
        <v>931</v>
      </c>
      <c r="B416" t="s">
        <v>899</v>
      </c>
      <c r="C416" t="s">
        <v>900</v>
      </c>
      <c r="D416" t="s">
        <v>877</v>
      </c>
      <c r="E416" t="s">
        <v>878</v>
      </c>
      <c r="F416" t="str">
        <f>IFERROR(INDEX(Aux!E:E,MATCH(Dados!E416,Aux!D:D,0)),INDEX(Aux!K:K,MATCH(Dados!B416,Aux!I:I,0)))</f>
        <v>Direita</v>
      </c>
      <c r="G416" s="2">
        <v>32269</v>
      </c>
      <c r="H416" s="2">
        <v>28947</v>
      </c>
    </row>
    <row r="417" spans="1:8" x14ac:dyDescent="0.3">
      <c r="A417" t="s">
        <v>928</v>
      </c>
      <c r="B417" t="s">
        <v>785</v>
      </c>
      <c r="C417" t="s">
        <v>786</v>
      </c>
      <c r="D417" t="s">
        <v>100</v>
      </c>
      <c r="E417" t="s">
        <v>785</v>
      </c>
      <c r="F417" t="str">
        <f>IFERROR(INDEX(Aux!E:E,MATCH(Dados!E417,Aux!D:D,0)),INDEX(Aux!K:K,MATCH(Dados!B417,Aux!I:I,0)))</f>
        <v>Centro direita</v>
      </c>
      <c r="G417" s="2">
        <v>32165</v>
      </c>
      <c r="H417" s="2">
        <v>0</v>
      </c>
    </row>
    <row r="418" spans="1:8" x14ac:dyDescent="0.3">
      <c r="A418" t="s">
        <v>936</v>
      </c>
      <c r="B418" t="s">
        <v>690</v>
      </c>
      <c r="C418" t="s">
        <v>691</v>
      </c>
      <c r="D418" t="s">
        <v>60</v>
      </c>
      <c r="E418" t="s">
        <v>61</v>
      </c>
      <c r="F418" t="str">
        <f>IFERROR(INDEX(Aux!E:E,MATCH(Dados!E418,Aux!D:D,0)),INDEX(Aux!K:K,MATCH(Dados!B418,Aux!I:I,0)))</f>
        <v>Centro</v>
      </c>
      <c r="G418" s="2">
        <v>31510</v>
      </c>
      <c r="H418" s="2">
        <v>0</v>
      </c>
    </row>
    <row r="419" spans="1:8" x14ac:dyDescent="0.3">
      <c r="A419" t="s">
        <v>934</v>
      </c>
      <c r="B419" t="s">
        <v>599</v>
      </c>
      <c r="C419" t="s">
        <v>600</v>
      </c>
      <c r="D419" t="s">
        <v>16</v>
      </c>
      <c r="E419" t="s">
        <v>17</v>
      </c>
      <c r="F419" t="str">
        <f>IFERROR(INDEX(Aux!E:E,MATCH(Dados!E419,Aux!D:D,0)),INDEX(Aux!K:K,MATCH(Dados!B419,Aux!I:I,0)))</f>
        <v>Centro direita</v>
      </c>
      <c r="G419" s="2">
        <v>31379</v>
      </c>
      <c r="H419" s="2">
        <v>0</v>
      </c>
    </row>
    <row r="420" spans="1:8" x14ac:dyDescent="0.3">
      <c r="A420" t="s">
        <v>922</v>
      </c>
      <c r="B420" t="s">
        <v>690</v>
      </c>
      <c r="C420" t="s">
        <v>691</v>
      </c>
      <c r="D420" t="s">
        <v>589</v>
      </c>
      <c r="E420" t="s">
        <v>590</v>
      </c>
      <c r="F420" t="str">
        <f>IFERROR(INDEX(Aux!E:E,MATCH(Dados!E420,Aux!D:D,0)),INDEX(Aux!K:K,MATCH(Dados!B420,Aux!I:I,0)))</f>
        <v>Indefinido</v>
      </c>
      <c r="G420" s="2">
        <v>31308</v>
      </c>
      <c r="H420" s="2">
        <v>0</v>
      </c>
    </row>
    <row r="421" spans="1:8" x14ac:dyDescent="0.3">
      <c r="A421" t="s">
        <v>939</v>
      </c>
      <c r="B421" t="s">
        <v>817</v>
      </c>
      <c r="C421" t="s">
        <v>818</v>
      </c>
      <c r="D421" t="s">
        <v>703</v>
      </c>
      <c r="E421" t="s">
        <v>704</v>
      </c>
      <c r="F421" t="str">
        <f>IFERROR(INDEX(Aux!E:E,MATCH(Dados!E421,Aux!D:D,0)),INDEX(Aux!K:K,MATCH(Dados!B421,Aux!I:I,0)))</f>
        <v>Centro</v>
      </c>
      <c r="G421" s="2">
        <v>31199</v>
      </c>
      <c r="H421" s="2">
        <v>0</v>
      </c>
    </row>
    <row r="422" spans="1:8" x14ac:dyDescent="0.3">
      <c r="A422" t="s">
        <v>934</v>
      </c>
      <c r="B422" t="s">
        <v>282</v>
      </c>
      <c r="C422" t="s">
        <v>283</v>
      </c>
      <c r="D422" t="s">
        <v>300</v>
      </c>
      <c r="E422" t="s">
        <v>301</v>
      </c>
      <c r="F422" t="str">
        <f>IFERROR(INDEX(Aux!E:E,MATCH(Dados!E422,Aux!D:D,0)),INDEX(Aux!K:K,MATCH(Dados!B422,Aux!I:I,0)))</f>
        <v>Direita</v>
      </c>
      <c r="G422" s="2">
        <v>31183</v>
      </c>
      <c r="H422" s="2">
        <v>0</v>
      </c>
    </row>
    <row r="423" spans="1:8" x14ac:dyDescent="0.3">
      <c r="A423" t="s">
        <v>939</v>
      </c>
      <c r="B423" t="s">
        <v>488</v>
      </c>
      <c r="C423" t="s">
        <v>489</v>
      </c>
      <c r="D423" t="s">
        <v>506</v>
      </c>
      <c r="E423" t="s">
        <v>497</v>
      </c>
      <c r="F423" t="str">
        <f>IFERROR(INDEX(Aux!E:E,MATCH(Dados!E423,Aux!D:D,0)),INDEX(Aux!K:K,MATCH(Dados!B423,Aux!I:I,0)))</f>
        <v>Esquerda</v>
      </c>
      <c r="G423" s="2">
        <v>31077</v>
      </c>
      <c r="H423" s="2">
        <v>0</v>
      </c>
    </row>
    <row r="424" spans="1:8" x14ac:dyDescent="0.3">
      <c r="A424" t="s">
        <v>924</v>
      </c>
      <c r="B424" t="s">
        <v>664</v>
      </c>
      <c r="C424" t="s">
        <v>665</v>
      </c>
      <c r="D424" t="s">
        <v>247</v>
      </c>
      <c r="E424" t="s">
        <v>248</v>
      </c>
      <c r="F424" t="str">
        <f>IFERROR(INDEX(Aux!E:E,MATCH(Dados!E424,Aux!D:D,0)),INDEX(Aux!K:K,MATCH(Dados!B424,Aux!I:I,0)))</f>
        <v>Centro</v>
      </c>
      <c r="G424" s="2">
        <v>31011</v>
      </c>
      <c r="H424" s="2">
        <v>0</v>
      </c>
    </row>
    <row r="425" spans="1:8" x14ac:dyDescent="0.3">
      <c r="A425" t="s">
        <v>937</v>
      </c>
      <c r="B425" t="s">
        <v>857</v>
      </c>
      <c r="C425" t="s">
        <v>858</v>
      </c>
      <c r="D425" t="s">
        <v>74</v>
      </c>
      <c r="E425" t="s">
        <v>75</v>
      </c>
      <c r="F425" t="str">
        <f>IFERROR(INDEX(Aux!E:E,MATCH(Dados!E425,Aux!D:D,0)),INDEX(Aux!K:K,MATCH(Dados!B425,Aux!I:I,0)))</f>
        <v>Centro esquerda</v>
      </c>
      <c r="G425" s="2">
        <v>30967</v>
      </c>
      <c r="H425" s="2">
        <v>0</v>
      </c>
    </row>
    <row r="426" spans="1:8" x14ac:dyDescent="0.3">
      <c r="A426" t="s">
        <v>937</v>
      </c>
      <c r="B426" t="s">
        <v>488</v>
      </c>
      <c r="C426" t="s">
        <v>489</v>
      </c>
      <c r="D426" t="s">
        <v>74</v>
      </c>
      <c r="E426" t="s">
        <v>75</v>
      </c>
      <c r="F426" t="str">
        <f>IFERROR(INDEX(Aux!E:E,MATCH(Dados!E426,Aux!D:D,0)),INDEX(Aux!K:K,MATCH(Dados!B426,Aux!I:I,0)))</f>
        <v>Centro esquerda</v>
      </c>
      <c r="G426" s="2">
        <v>30399</v>
      </c>
      <c r="H426" s="2">
        <v>0</v>
      </c>
    </row>
    <row r="427" spans="1:8" x14ac:dyDescent="0.3">
      <c r="A427" t="s">
        <v>928</v>
      </c>
      <c r="B427" t="s">
        <v>902</v>
      </c>
      <c r="C427" t="s">
        <v>902</v>
      </c>
      <c r="D427" t="s">
        <v>383</v>
      </c>
      <c r="E427" t="s">
        <v>384</v>
      </c>
      <c r="F427" t="str">
        <f>IFERROR(INDEX(Aux!E:E,MATCH(Dados!E427,Aux!D:D,0)),INDEX(Aux!K:K,MATCH(Dados!B427,Aux!I:I,0)))</f>
        <v>Centro</v>
      </c>
      <c r="G427" s="2">
        <v>29979</v>
      </c>
      <c r="H427" s="2">
        <v>0</v>
      </c>
    </row>
    <row r="428" spans="1:8" x14ac:dyDescent="0.3">
      <c r="A428" t="s">
        <v>927</v>
      </c>
      <c r="B428" t="s">
        <v>690</v>
      </c>
      <c r="C428" t="s">
        <v>691</v>
      </c>
      <c r="D428" t="s">
        <v>36</v>
      </c>
      <c r="E428" t="s">
        <v>37</v>
      </c>
      <c r="F428" t="str">
        <f>IFERROR(INDEX(Aux!E:E,MATCH(Dados!E428,Aux!D:D,0)),INDEX(Aux!K:K,MATCH(Dados!B428,Aux!I:I,0)))</f>
        <v>Centro</v>
      </c>
      <c r="G428" s="2">
        <v>29770</v>
      </c>
      <c r="H428" s="2">
        <v>0</v>
      </c>
    </row>
    <row r="429" spans="1:8" x14ac:dyDescent="0.3">
      <c r="A429" t="s">
        <v>938</v>
      </c>
      <c r="B429" t="s">
        <v>558</v>
      </c>
      <c r="C429" t="s">
        <v>559</v>
      </c>
      <c r="D429" t="s">
        <v>284</v>
      </c>
      <c r="E429" t="s">
        <v>285</v>
      </c>
      <c r="F429" t="str">
        <f>IFERROR(INDEX(Aux!E:E,MATCH(Dados!E429,Aux!D:D,0)),INDEX(Aux!K:K,MATCH(Dados!B429,Aux!I:I,0)))</f>
        <v>Direita</v>
      </c>
      <c r="G429" s="2">
        <v>29649</v>
      </c>
      <c r="H429" s="2">
        <v>12519</v>
      </c>
    </row>
    <row r="430" spans="1:8" x14ac:dyDescent="0.3">
      <c r="A430" t="s">
        <v>924</v>
      </c>
      <c r="B430" t="s">
        <v>558</v>
      </c>
      <c r="C430" t="s">
        <v>559</v>
      </c>
      <c r="D430" t="s">
        <v>574</v>
      </c>
      <c r="E430" t="s">
        <v>575</v>
      </c>
      <c r="F430" t="str">
        <f>IFERROR(INDEX(Aux!E:E,MATCH(Dados!E430,Aux!D:D,0)),INDEX(Aux!K:K,MATCH(Dados!B430,Aux!I:I,0)))</f>
        <v>Centro</v>
      </c>
      <c r="G430" s="2">
        <v>29556</v>
      </c>
      <c r="H430" s="2">
        <v>15443</v>
      </c>
    </row>
    <row r="431" spans="1:8" x14ac:dyDescent="0.3">
      <c r="A431" t="s">
        <v>919</v>
      </c>
      <c r="B431" t="s">
        <v>540</v>
      </c>
      <c r="C431" t="s">
        <v>541</v>
      </c>
      <c r="D431" t="s">
        <v>549</v>
      </c>
      <c r="E431" t="s">
        <v>543</v>
      </c>
      <c r="F431" t="str">
        <f>IFERROR(INDEX(Aux!E:E,MATCH(Dados!E431,Aux!D:D,0)),INDEX(Aux!K:K,MATCH(Dados!B431,Aux!I:I,0)))</f>
        <v>Esquerda</v>
      </c>
      <c r="G431" s="2">
        <v>29270</v>
      </c>
      <c r="H431" s="2">
        <v>20763</v>
      </c>
    </row>
    <row r="432" spans="1:8" x14ac:dyDescent="0.3">
      <c r="A432" t="s">
        <v>923</v>
      </c>
      <c r="B432" t="s">
        <v>664</v>
      </c>
      <c r="C432" t="s">
        <v>665</v>
      </c>
      <c r="D432" t="s">
        <v>147</v>
      </c>
      <c r="E432" t="s">
        <v>148</v>
      </c>
      <c r="F432" t="str">
        <f>IFERROR(INDEX(Aux!E:E,MATCH(Dados!E432,Aux!D:D,0)),INDEX(Aux!K:K,MATCH(Dados!B432,Aux!I:I,0)))</f>
        <v>Centro direita</v>
      </c>
      <c r="G432" s="2">
        <v>28723</v>
      </c>
      <c r="H432" s="2">
        <v>0</v>
      </c>
    </row>
    <row r="433" spans="1:8" x14ac:dyDescent="0.3">
      <c r="A433" t="s">
        <v>928</v>
      </c>
      <c r="B433" t="s">
        <v>690</v>
      </c>
      <c r="C433" t="s">
        <v>691</v>
      </c>
      <c r="D433" t="s">
        <v>712</v>
      </c>
      <c r="E433" t="s">
        <v>713</v>
      </c>
      <c r="F433" t="str">
        <f>IFERROR(INDEX(Aux!E:E,MATCH(Dados!E433,Aux!D:D,0)),INDEX(Aux!K:K,MATCH(Dados!B433,Aux!I:I,0)))</f>
        <v>Esquerda</v>
      </c>
      <c r="G433" s="2">
        <v>28706</v>
      </c>
      <c r="H433" s="2">
        <v>0</v>
      </c>
    </row>
    <row r="434" spans="1:8" x14ac:dyDescent="0.3">
      <c r="A434" t="s">
        <v>937</v>
      </c>
      <c r="B434" t="s">
        <v>4</v>
      </c>
      <c r="C434" t="s">
        <v>5</v>
      </c>
      <c r="D434" t="s">
        <v>74</v>
      </c>
      <c r="E434" t="s">
        <v>75</v>
      </c>
      <c r="F434" t="str">
        <f>IFERROR(INDEX(Aux!E:E,MATCH(Dados!E434,Aux!D:D,0)),INDEX(Aux!K:K,MATCH(Dados!B434,Aux!I:I,0)))</f>
        <v>Centro esquerda</v>
      </c>
      <c r="G434" s="2">
        <v>28577</v>
      </c>
      <c r="H434" s="2">
        <v>0</v>
      </c>
    </row>
    <row r="435" spans="1:8" x14ac:dyDescent="0.3">
      <c r="A435" t="s">
        <v>925</v>
      </c>
      <c r="B435" t="s">
        <v>737</v>
      </c>
      <c r="C435" t="s">
        <v>738</v>
      </c>
      <c r="D435" t="s">
        <v>560</v>
      </c>
      <c r="E435" t="s">
        <v>561</v>
      </c>
      <c r="F435" t="str">
        <f>IFERROR(INDEX(Aux!E:E,MATCH(Dados!E435,Aux!D:D,0)),INDEX(Aux!K:K,MATCH(Dados!B435,Aux!I:I,0)))</f>
        <v>Direita</v>
      </c>
      <c r="G435" s="2">
        <v>28478</v>
      </c>
      <c r="H435" s="2">
        <v>0</v>
      </c>
    </row>
    <row r="436" spans="1:8" x14ac:dyDescent="0.3">
      <c r="A436" t="s">
        <v>934</v>
      </c>
      <c r="B436" t="s">
        <v>388</v>
      </c>
      <c r="C436" t="s">
        <v>389</v>
      </c>
      <c r="D436" t="s">
        <v>300</v>
      </c>
      <c r="E436" t="s">
        <v>301</v>
      </c>
      <c r="F436" t="str">
        <f>IFERROR(INDEX(Aux!E:E,MATCH(Dados!E436,Aux!D:D,0)),INDEX(Aux!K:K,MATCH(Dados!B436,Aux!I:I,0)))</f>
        <v>Direita</v>
      </c>
      <c r="G436" s="2">
        <v>28399</v>
      </c>
      <c r="H436" s="2">
        <v>0</v>
      </c>
    </row>
    <row r="437" spans="1:8" x14ac:dyDescent="0.3">
      <c r="A437" t="s">
        <v>926</v>
      </c>
      <c r="B437" t="s">
        <v>787</v>
      </c>
      <c r="C437" t="s">
        <v>788</v>
      </c>
      <c r="D437" t="s">
        <v>100</v>
      </c>
      <c r="E437" t="s">
        <v>787</v>
      </c>
      <c r="F437" t="str">
        <f>IFERROR(INDEX(Aux!E:E,MATCH(Dados!E437,Aux!D:D,0)),INDEX(Aux!K:K,MATCH(Dados!B437,Aux!I:I,0)))</f>
        <v>Centro direita</v>
      </c>
      <c r="G437" s="2">
        <v>28286</v>
      </c>
      <c r="H437" s="2">
        <v>51857</v>
      </c>
    </row>
    <row r="438" spans="1:8" x14ac:dyDescent="0.3">
      <c r="A438" t="s">
        <v>922</v>
      </c>
      <c r="B438" t="s">
        <v>783</v>
      </c>
      <c r="C438" t="s">
        <v>784</v>
      </c>
      <c r="D438" t="s">
        <v>50</v>
      </c>
      <c r="E438" t="s">
        <v>51</v>
      </c>
      <c r="F438" t="str">
        <f>IFERROR(INDEX(Aux!E:E,MATCH(Dados!E438,Aux!D:D,0)),INDEX(Aux!K:K,MATCH(Dados!B438,Aux!I:I,0)))</f>
        <v>Centro</v>
      </c>
      <c r="G438" s="2">
        <v>28194</v>
      </c>
      <c r="H438" s="2">
        <v>0</v>
      </c>
    </row>
    <row r="439" spans="1:8" x14ac:dyDescent="0.3">
      <c r="A439" t="s">
        <v>922</v>
      </c>
      <c r="B439" t="s">
        <v>902</v>
      </c>
      <c r="C439" t="s">
        <v>902</v>
      </c>
      <c r="D439" t="s">
        <v>50</v>
      </c>
      <c r="E439" t="s">
        <v>51</v>
      </c>
      <c r="F439" t="str">
        <f>IFERROR(INDEX(Aux!E:E,MATCH(Dados!E439,Aux!D:D,0)),INDEX(Aux!K:K,MATCH(Dados!B439,Aux!I:I,0)))</f>
        <v>Centro</v>
      </c>
      <c r="G439" s="2">
        <v>28074</v>
      </c>
      <c r="H439" s="2">
        <v>0</v>
      </c>
    </row>
    <row r="440" spans="1:8" x14ac:dyDescent="0.3">
      <c r="A440" t="s">
        <v>923</v>
      </c>
      <c r="B440" t="s">
        <v>902</v>
      </c>
      <c r="C440" t="s">
        <v>902</v>
      </c>
      <c r="D440" t="s">
        <v>296</v>
      </c>
      <c r="E440" t="s">
        <v>297</v>
      </c>
      <c r="F440" t="str">
        <f>IFERROR(INDEX(Aux!E:E,MATCH(Dados!E440,Aux!D:D,0)),INDEX(Aux!K:K,MATCH(Dados!B440,Aux!I:I,0)))</f>
        <v>Centro</v>
      </c>
      <c r="G440" s="2">
        <v>27571</v>
      </c>
      <c r="H440" s="2">
        <v>0</v>
      </c>
    </row>
    <row r="441" spans="1:8" x14ac:dyDescent="0.3">
      <c r="A441" t="s">
        <v>929</v>
      </c>
      <c r="B441" t="s">
        <v>871</v>
      </c>
      <c r="C441" t="s">
        <v>872</v>
      </c>
      <c r="D441" t="s">
        <v>797</v>
      </c>
      <c r="E441" t="s">
        <v>798</v>
      </c>
      <c r="F441" t="str">
        <f>IFERROR(INDEX(Aux!E:E,MATCH(Dados!E441,Aux!D:D,0)),INDEX(Aux!K:K,MATCH(Dados!B441,Aux!I:I,0)))</f>
        <v>Esquerda</v>
      </c>
      <c r="G441" s="2">
        <v>27058</v>
      </c>
      <c r="H441" s="2">
        <v>38480</v>
      </c>
    </row>
    <row r="442" spans="1:8" x14ac:dyDescent="0.3">
      <c r="A442" t="s">
        <v>936</v>
      </c>
      <c r="B442" t="s">
        <v>488</v>
      </c>
      <c r="C442" t="s">
        <v>489</v>
      </c>
      <c r="D442" t="s">
        <v>280</v>
      </c>
      <c r="E442" t="s">
        <v>281</v>
      </c>
      <c r="F442" t="str">
        <f>IFERROR(INDEX(Aux!E:E,MATCH(Dados!E442,Aux!D:D,0)),INDEX(Aux!K:K,MATCH(Dados!B442,Aux!I:I,0)))</f>
        <v>Centro</v>
      </c>
      <c r="G442" s="2">
        <v>27055</v>
      </c>
      <c r="H442" s="2">
        <v>36573</v>
      </c>
    </row>
    <row r="443" spans="1:8" x14ac:dyDescent="0.3">
      <c r="A443" t="s">
        <v>937</v>
      </c>
      <c r="B443" t="s">
        <v>866</v>
      </c>
      <c r="C443" t="s">
        <v>867</v>
      </c>
      <c r="D443" t="s">
        <v>655</v>
      </c>
      <c r="E443" t="s">
        <v>656</v>
      </c>
      <c r="F443" t="str">
        <f>IFERROR(INDEX(Aux!E:E,MATCH(Dados!E443,Aux!D:D,0)),INDEX(Aux!K:K,MATCH(Dados!B443,Aux!I:I,0)))</f>
        <v>Esquerda</v>
      </c>
      <c r="G443" s="2">
        <v>26842</v>
      </c>
      <c r="H443" s="2">
        <v>0</v>
      </c>
    </row>
    <row r="444" spans="1:8" x14ac:dyDescent="0.3">
      <c r="A444" t="s">
        <v>938</v>
      </c>
      <c r="B444" t="s">
        <v>756</v>
      </c>
      <c r="C444" t="s">
        <v>757</v>
      </c>
      <c r="D444" t="s">
        <v>10</v>
      </c>
      <c r="E444" t="s">
        <v>11</v>
      </c>
      <c r="F444" t="str">
        <f>IFERROR(INDEX(Aux!E:E,MATCH(Dados!E444,Aux!D:D,0)),INDEX(Aux!K:K,MATCH(Dados!B444,Aux!I:I,0)))</f>
        <v>Indefinido</v>
      </c>
      <c r="G444" s="2">
        <v>26832</v>
      </c>
      <c r="H444" s="2">
        <v>0</v>
      </c>
    </row>
    <row r="445" spans="1:8" x14ac:dyDescent="0.3">
      <c r="A445" t="s">
        <v>936</v>
      </c>
      <c r="B445" t="s">
        <v>558</v>
      </c>
      <c r="C445" t="s">
        <v>559</v>
      </c>
      <c r="D445" t="s">
        <v>587</v>
      </c>
      <c r="E445" t="s">
        <v>588</v>
      </c>
      <c r="F445" t="str">
        <f>IFERROR(INDEX(Aux!E:E,MATCH(Dados!E445,Aux!D:D,0)),INDEX(Aux!K:K,MATCH(Dados!B445,Aux!I:I,0)))</f>
        <v>Centro</v>
      </c>
      <c r="G445" s="2">
        <v>26370</v>
      </c>
      <c r="H445" s="2">
        <v>17238</v>
      </c>
    </row>
    <row r="446" spans="1:8" x14ac:dyDescent="0.3">
      <c r="A446" t="s">
        <v>924</v>
      </c>
      <c r="B446" t="s">
        <v>4</v>
      </c>
      <c r="C446" t="s">
        <v>5</v>
      </c>
      <c r="D446" t="s">
        <v>54</v>
      </c>
      <c r="E446" t="s">
        <v>55</v>
      </c>
      <c r="F446" t="str">
        <f>IFERROR(INDEX(Aux!E:E,MATCH(Dados!E446,Aux!D:D,0)),INDEX(Aux!K:K,MATCH(Dados!B446,Aux!I:I,0)))</f>
        <v>Centro esquerda</v>
      </c>
      <c r="G446" s="2">
        <v>26358</v>
      </c>
      <c r="H446" s="2">
        <v>13927</v>
      </c>
    </row>
    <row r="447" spans="1:8" x14ac:dyDescent="0.3">
      <c r="A447" t="s">
        <v>921</v>
      </c>
      <c r="B447" t="s">
        <v>893</v>
      </c>
      <c r="C447" t="s">
        <v>894</v>
      </c>
      <c r="D447" t="s">
        <v>68</v>
      </c>
      <c r="E447" t="s">
        <v>69</v>
      </c>
      <c r="F447" t="str">
        <f>IFERROR(INDEX(Aux!E:E,MATCH(Dados!E447,Aux!D:D,0)),INDEX(Aux!K:K,MATCH(Dados!B447,Aux!I:I,0)))</f>
        <v>Indefinido</v>
      </c>
      <c r="G447" s="2">
        <v>26348</v>
      </c>
      <c r="H447" s="2">
        <v>0</v>
      </c>
    </row>
    <row r="448" spans="1:8" x14ac:dyDescent="0.3">
      <c r="A448" t="s">
        <v>922</v>
      </c>
      <c r="B448" t="s">
        <v>206</v>
      </c>
      <c r="C448" t="s">
        <v>207</v>
      </c>
      <c r="D448" t="s">
        <v>50</v>
      </c>
      <c r="E448" t="s">
        <v>51</v>
      </c>
      <c r="F448" t="str">
        <f>IFERROR(INDEX(Aux!E:E,MATCH(Dados!E448,Aux!D:D,0)),INDEX(Aux!K:K,MATCH(Dados!B448,Aux!I:I,0)))</f>
        <v>Centro</v>
      </c>
      <c r="G448" s="2">
        <v>26156</v>
      </c>
      <c r="H448" s="2">
        <v>0</v>
      </c>
    </row>
    <row r="449" spans="1:8" x14ac:dyDescent="0.3">
      <c r="A449" t="s">
        <v>928</v>
      </c>
      <c r="B449" t="s">
        <v>641</v>
      </c>
      <c r="C449" t="s">
        <v>642</v>
      </c>
      <c r="D449" t="s">
        <v>383</v>
      </c>
      <c r="E449" t="s">
        <v>384</v>
      </c>
      <c r="F449" t="str">
        <f>IFERROR(INDEX(Aux!E:E,MATCH(Dados!E449,Aux!D:D,0)),INDEX(Aux!K:K,MATCH(Dados!B449,Aux!I:I,0)))</f>
        <v>Centro</v>
      </c>
      <c r="G449" s="2">
        <v>26085</v>
      </c>
      <c r="H449" s="2">
        <v>0</v>
      </c>
    </row>
    <row r="450" spans="1:8" x14ac:dyDescent="0.3">
      <c r="A450" t="s">
        <v>928</v>
      </c>
      <c r="B450" t="s">
        <v>787</v>
      </c>
      <c r="C450" t="s">
        <v>788</v>
      </c>
      <c r="D450" t="s">
        <v>712</v>
      </c>
      <c r="E450" t="s">
        <v>713</v>
      </c>
      <c r="F450" t="str">
        <f>IFERROR(INDEX(Aux!E:E,MATCH(Dados!E450,Aux!D:D,0)),INDEX(Aux!K:K,MATCH(Dados!B450,Aux!I:I,0)))</f>
        <v>Esquerda</v>
      </c>
      <c r="G450" s="2">
        <v>25996</v>
      </c>
      <c r="H450" s="2">
        <v>0</v>
      </c>
    </row>
    <row r="451" spans="1:8" x14ac:dyDescent="0.3">
      <c r="A451" t="s">
        <v>923</v>
      </c>
      <c r="B451" t="s">
        <v>388</v>
      </c>
      <c r="C451" t="s">
        <v>389</v>
      </c>
      <c r="D451" t="s">
        <v>296</v>
      </c>
      <c r="E451" t="s">
        <v>297</v>
      </c>
      <c r="F451" t="str">
        <f>IFERROR(INDEX(Aux!E:E,MATCH(Dados!E451,Aux!D:D,0)),INDEX(Aux!K:K,MATCH(Dados!B451,Aux!I:I,0)))</f>
        <v>Centro</v>
      </c>
      <c r="G451" s="2">
        <v>25954</v>
      </c>
      <c r="H451" s="2">
        <v>0</v>
      </c>
    </row>
    <row r="452" spans="1:8" x14ac:dyDescent="0.3">
      <c r="A452" t="s">
        <v>929</v>
      </c>
      <c r="B452" t="s">
        <v>817</v>
      </c>
      <c r="C452" t="s">
        <v>818</v>
      </c>
      <c r="D452" t="s">
        <v>226</v>
      </c>
      <c r="E452" t="s">
        <v>227</v>
      </c>
      <c r="F452" t="str">
        <f>IFERROR(INDEX(Aux!E:E,MATCH(Dados!E452,Aux!D:D,0)),INDEX(Aux!K:K,MATCH(Dados!B452,Aux!I:I,0)))</f>
        <v>Indefinido</v>
      </c>
      <c r="G452" s="2">
        <v>25751</v>
      </c>
      <c r="H452" s="2">
        <v>0</v>
      </c>
    </row>
    <row r="453" spans="1:8" x14ac:dyDescent="0.3">
      <c r="A453" t="s">
        <v>917</v>
      </c>
      <c r="B453" t="s">
        <v>864</v>
      </c>
      <c r="C453" t="s">
        <v>865</v>
      </c>
      <c r="D453" t="s">
        <v>438</v>
      </c>
      <c r="E453" t="s">
        <v>439</v>
      </c>
      <c r="F453" t="str">
        <f>IFERROR(INDEX(Aux!E:E,MATCH(Dados!E453,Aux!D:D,0)),INDEX(Aux!K:K,MATCH(Dados!B453,Aux!I:I,0)))</f>
        <v>Centro</v>
      </c>
      <c r="G453" s="2">
        <v>25679</v>
      </c>
      <c r="H453" s="2">
        <v>0</v>
      </c>
    </row>
    <row r="454" spans="1:8" x14ac:dyDescent="0.3">
      <c r="A454" t="s">
        <v>933</v>
      </c>
      <c r="B454" t="s">
        <v>737</v>
      </c>
      <c r="C454" t="s">
        <v>738</v>
      </c>
      <c r="D454" t="s">
        <v>214</v>
      </c>
      <c r="E454" t="s">
        <v>215</v>
      </c>
      <c r="F454" t="str">
        <f>IFERROR(INDEX(Aux!E:E,MATCH(Dados!E454,Aux!D:D,0)),INDEX(Aux!K:K,MATCH(Dados!B454,Aux!I:I,0)))</f>
        <v>Centro</v>
      </c>
      <c r="G454" s="2">
        <v>25363</v>
      </c>
      <c r="H454" s="2">
        <v>0</v>
      </c>
    </row>
    <row r="455" spans="1:8" x14ac:dyDescent="0.3">
      <c r="A455" t="s">
        <v>924</v>
      </c>
      <c r="B455" t="s">
        <v>902</v>
      </c>
      <c r="C455" t="s">
        <v>902</v>
      </c>
      <c r="D455" t="s">
        <v>247</v>
      </c>
      <c r="E455" t="s">
        <v>248</v>
      </c>
      <c r="F455" t="str">
        <f>IFERROR(INDEX(Aux!E:E,MATCH(Dados!E455,Aux!D:D,0)),INDEX(Aux!K:K,MATCH(Dados!B455,Aux!I:I,0)))</f>
        <v>Centro</v>
      </c>
      <c r="G455" s="2">
        <v>25316</v>
      </c>
      <c r="H455" s="2">
        <v>0</v>
      </c>
    </row>
    <row r="456" spans="1:8" x14ac:dyDescent="0.3">
      <c r="A456" t="s">
        <v>929</v>
      </c>
      <c r="B456" t="s">
        <v>864</v>
      </c>
      <c r="C456" t="s">
        <v>865</v>
      </c>
      <c r="D456" t="s">
        <v>426</v>
      </c>
      <c r="E456" t="s">
        <v>427</v>
      </c>
      <c r="F456" t="str">
        <f>IFERROR(INDEX(Aux!E:E,MATCH(Dados!E456,Aux!D:D,0)),INDEX(Aux!K:K,MATCH(Dados!B456,Aux!I:I,0)))</f>
        <v>Centro</v>
      </c>
      <c r="G456" s="2">
        <v>25298</v>
      </c>
      <c r="H456" s="2">
        <v>0</v>
      </c>
    </row>
    <row r="457" spans="1:8" x14ac:dyDescent="0.3">
      <c r="A457" t="s">
        <v>930</v>
      </c>
      <c r="B457" t="s">
        <v>135</v>
      </c>
      <c r="C457" t="s">
        <v>136</v>
      </c>
      <c r="D457" t="s">
        <v>157</v>
      </c>
      <c r="E457" t="s">
        <v>158</v>
      </c>
      <c r="F457" t="str">
        <f>IFERROR(INDEX(Aux!E:E,MATCH(Dados!E457,Aux!D:D,0)),INDEX(Aux!K:K,MATCH(Dados!B457,Aux!I:I,0)))</f>
        <v>Centro</v>
      </c>
      <c r="G457" s="2">
        <v>25129</v>
      </c>
      <c r="H457" s="2">
        <v>0</v>
      </c>
    </row>
    <row r="458" spans="1:8" x14ac:dyDescent="0.3">
      <c r="A458" t="s">
        <v>926</v>
      </c>
      <c r="B458" t="s">
        <v>871</v>
      </c>
      <c r="C458" t="s">
        <v>872</v>
      </c>
      <c r="D458" t="s">
        <v>237</v>
      </c>
      <c r="E458" t="s">
        <v>804</v>
      </c>
      <c r="F458" t="str">
        <f>IFERROR(INDEX(Aux!E:E,MATCH(Dados!E458,Aux!D:D,0)),INDEX(Aux!K:K,MATCH(Dados!B458,Aux!I:I,0)))</f>
        <v>Esquerda</v>
      </c>
      <c r="G458" s="2">
        <v>24938</v>
      </c>
      <c r="H458" s="2">
        <v>25322</v>
      </c>
    </row>
    <row r="459" spans="1:8" x14ac:dyDescent="0.3">
      <c r="A459" t="s">
        <v>937</v>
      </c>
      <c r="B459" t="s">
        <v>716</v>
      </c>
      <c r="C459" t="s">
        <v>717</v>
      </c>
      <c r="D459" t="s">
        <v>320</v>
      </c>
      <c r="E459" t="s">
        <v>321</v>
      </c>
      <c r="F459" t="str">
        <f>IFERROR(INDEX(Aux!E:E,MATCH(Dados!E459,Aux!D:D,0)),INDEX(Aux!K:K,MATCH(Dados!B459,Aux!I:I,0)))</f>
        <v>Indefinido</v>
      </c>
      <c r="G459" s="2">
        <v>24786</v>
      </c>
      <c r="H459" s="2">
        <v>0</v>
      </c>
    </row>
    <row r="460" spans="1:8" x14ac:dyDescent="0.3">
      <c r="A460" t="s">
        <v>931</v>
      </c>
      <c r="B460" t="s">
        <v>871</v>
      </c>
      <c r="C460" t="s">
        <v>872</v>
      </c>
      <c r="D460" t="s">
        <v>805</v>
      </c>
      <c r="E460" t="s">
        <v>806</v>
      </c>
      <c r="F460" t="str">
        <f>IFERROR(INDEX(Aux!E:E,MATCH(Dados!E460,Aux!D:D,0)),INDEX(Aux!K:K,MATCH(Dados!B460,Aux!I:I,0)))</f>
        <v>Esquerda</v>
      </c>
      <c r="G460" s="2">
        <v>24646</v>
      </c>
      <c r="H460" s="2">
        <v>20336</v>
      </c>
    </row>
    <row r="461" spans="1:8" x14ac:dyDescent="0.3">
      <c r="A461" t="s">
        <v>934</v>
      </c>
      <c r="B461" t="s">
        <v>4</v>
      </c>
      <c r="C461" t="s">
        <v>5</v>
      </c>
      <c r="D461" t="s">
        <v>16</v>
      </c>
      <c r="E461" t="s">
        <v>17</v>
      </c>
      <c r="F461" t="str">
        <f>IFERROR(INDEX(Aux!E:E,MATCH(Dados!E461,Aux!D:D,0)),INDEX(Aux!K:K,MATCH(Dados!B461,Aux!I:I,0)))</f>
        <v>Centro direita</v>
      </c>
      <c r="G461" s="2">
        <v>24634</v>
      </c>
      <c r="H461" s="2">
        <v>0</v>
      </c>
    </row>
    <row r="462" spans="1:8" x14ac:dyDescent="0.3">
      <c r="A462" t="s">
        <v>929</v>
      </c>
      <c r="B462" t="s">
        <v>785</v>
      </c>
      <c r="C462" t="s">
        <v>786</v>
      </c>
      <c r="D462" t="s">
        <v>100</v>
      </c>
      <c r="E462" t="s">
        <v>785</v>
      </c>
      <c r="F462" t="str">
        <f>IFERROR(INDEX(Aux!E:E,MATCH(Dados!E462,Aux!D:D,0)),INDEX(Aux!K:K,MATCH(Dados!B462,Aux!I:I,0)))</f>
        <v>Centro direita</v>
      </c>
      <c r="G462" s="2">
        <v>24462</v>
      </c>
      <c r="H462" s="2">
        <v>0</v>
      </c>
    </row>
    <row r="463" spans="1:8" x14ac:dyDescent="0.3">
      <c r="A463" t="s">
        <v>934</v>
      </c>
      <c r="B463" t="s">
        <v>135</v>
      </c>
      <c r="C463" t="s">
        <v>136</v>
      </c>
      <c r="D463" t="s">
        <v>204</v>
      </c>
      <c r="E463" t="s">
        <v>205</v>
      </c>
      <c r="F463" t="str">
        <f>IFERROR(INDEX(Aux!E:E,MATCH(Dados!E463,Aux!D:D,0)),INDEX(Aux!K:K,MATCH(Dados!B463,Aux!I:I,0)))</f>
        <v>Esquerda</v>
      </c>
      <c r="G463" s="2">
        <v>24255</v>
      </c>
      <c r="H463" s="2">
        <v>0</v>
      </c>
    </row>
    <row r="464" spans="1:8" x14ac:dyDescent="0.3">
      <c r="A464" t="s">
        <v>940</v>
      </c>
      <c r="B464" t="s">
        <v>716</v>
      </c>
      <c r="C464" t="s">
        <v>717</v>
      </c>
      <c r="D464" t="s">
        <v>418</v>
      </c>
      <c r="E464" t="s">
        <v>419</v>
      </c>
      <c r="F464" t="str">
        <f>IFERROR(INDEX(Aux!E:E,MATCH(Dados!E464,Aux!D:D,0)),INDEX(Aux!K:K,MATCH(Dados!B464,Aux!I:I,0)))</f>
        <v>Centro direita</v>
      </c>
      <c r="G464" s="2">
        <v>24201</v>
      </c>
      <c r="H464" s="2">
        <v>0</v>
      </c>
    </row>
    <row r="465" spans="1:8" x14ac:dyDescent="0.3">
      <c r="A465" t="s">
        <v>916</v>
      </c>
      <c r="B465" t="s">
        <v>864</v>
      </c>
      <c r="C465" t="s">
        <v>865</v>
      </c>
      <c r="D465" t="s">
        <v>324</v>
      </c>
      <c r="E465" t="s">
        <v>325</v>
      </c>
      <c r="F465" t="str">
        <f>IFERROR(INDEX(Aux!E:E,MATCH(Dados!E465,Aux!D:D,0)),INDEX(Aux!K:K,MATCH(Dados!B465,Aux!I:I,0)))</f>
        <v>Direita</v>
      </c>
      <c r="G465" s="2">
        <v>24076</v>
      </c>
      <c r="H465" s="2">
        <v>1493</v>
      </c>
    </row>
    <row r="466" spans="1:8" x14ac:dyDescent="0.3">
      <c r="A466" t="s">
        <v>940</v>
      </c>
      <c r="B466" t="s">
        <v>4</v>
      </c>
      <c r="C466" t="s">
        <v>5</v>
      </c>
      <c r="D466" t="s">
        <v>86</v>
      </c>
      <c r="E466" t="s">
        <v>87</v>
      </c>
      <c r="F466" t="str">
        <f>IFERROR(INDEX(Aux!E:E,MATCH(Dados!E466,Aux!D:D,0)),INDEX(Aux!K:K,MATCH(Dados!B466,Aux!I:I,0)))</f>
        <v>Direita</v>
      </c>
      <c r="G466" s="2">
        <v>23735</v>
      </c>
      <c r="H466" s="2">
        <v>0</v>
      </c>
    </row>
    <row r="467" spans="1:8" x14ac:dyDescent="0.3">
      <c r="A467" t="s">
        <v>918</v>
      </c>
      <c r="B467" t="s">
        <v>135</v>
      </c>
      <c r="C467" t="s">
        <v>136</v>
      </c>
      <c r="D467" t="s">
        <v>100</v>
      </c>
      <c r="E467" t="s">
        <v>135</v>
      </c>
      <c r="F467" t="str">
        <f>IFERROR(INDEX(Aux!E:E,MATCH(Dados!E467,Aux!D:D,0)),INDEX(Aux!K:K,MATCH(Dados!B467,Aux!I:I,0)))</f>
        <v>Centro esquerda</v>
      </c>
      <c r="G467" s="2">
        <v>23700</v>
      </c>
      <c r="H467" s="2">
        <v>2869</v>
      </c>
    </row>
    <row r="468" spans="1:8" x14ac:dyDescent="0.3">
      <c r="A468" t="s">
        <v>934</v>
      </c>
      <c r="B468" t="s">
        <v>787</v>
      </c>
      <c r="C468" t="s">
        <v>788</v>
      </c>
      <c r="D468" t="s">
        <v>300</v>
      </c>
      <c r="E468" t="s">
        <v>301</v>
      </c>
      <c r="F468" t="str">
        <f>IFERROR(INDEX(Aux!E:E,MATCH(Dados!E468,Aux!D:D,0)),INDEX(Aux!K:K,MATCH(Dados!B468,Aux!I:I,0)))</f>
        <v>Direita</v>
      </c>
      <c r="G468" s="2">
        <v>23157</v>
      </c>
      <c r="H468" s="2">
        <v>0</v>
      </c>
    </row>
    <row r="469" spans="1:8" x14ac:dyDescent="0.3">
      <c r="A469" t="s">
        <v>921</v>
      </c>
      <c r="B469" t="s">
        <v>871</v>
      </c>
      <c r="C469" t="s">
        <v>872</v>
      </c>
      <c r="D469" t="s">
        <v>68</v>
      </c>
      <c r="E469" t="s">
        <v>69</v>
      </c>
      <c r="F469" t="str">
        <f>IFERROR(INDEX(Aux!E:E,MATCH(Dados!E469,Aux!D:D,0)),INDEX(Aux!K:K,MATCH(Dados!B469,Aux!I:I,0)))</f>
        <v>Indefinido</v>
      </c>
      <c r="G469" s="2">
        <v>22866</v>
      </c>
      <c r="H469" s="2">
        <v>0</v>
      </c>
    </row>
    <row r="470" spans="1:8" x14ac:dyDescent="0.3">
      <c r="A470" t="s">
        <v>932</v>
      </c>
      <c r="B470" t="s">
        <v>334</v>
      </c>
      <c r="C470" t="s">
        <v>335</v>
      </c>
      <c r="D470" t="s">
        <v>386</v>
      </c>
      <c r="E470" t="s">
        <v>387</v>
      </c>
      <c r="F470" t="str">
        <f>IFERROR(INDEX(Aux!E:E,MATCH(Dados!E470,Aux!D:D,0)),INDEX(Aux!K:K,MATCH(Dados!B470,Aux!I:I,0)))</f>
        <v>Esquerda</v>
      </c>
      <c r="G470" s="2">
        <v>22802</v>
      </c>
      <c r="H470" s="2">
        <v>0</v>
      </c>
    </row>
    <row r="471" spans="1:8" x14ac:dyDescent="0.3">
      <c r="A471" t="s">
        <v>940</v>
      </c>
      <c r="B471" t="s">
        <v>558</v>
      </c>
      <c r="C471" t="s">
        <v>559</v>
      </c>
      <c r="D471" t="s">
        <v>418</v>
      </c>
      <c r="E471" t="s">
        <v>419</v>
      </c>
      <c r="F471" t="str">
        <f>IFERROR(INDEX(Aux!E:E,MATCH(Dados!E471,Aux!D:D,0)),INDEX(Aux!K:K,MATCH(Dados!B471,Aux!I:I,0)))</f>
        <v>Centro direita</v>
      </c>
      <c r="G471" s="2">
        <v>22692</v>
      </c>
      <c r="H471" s="2">
        <v>0</v>
      </c>
    </row>
    <row r="472" spans="1:8" x14ac:dyDescent="0.3">
      <c r="A472" t="s">
        <v>921</v>
      </c>
      <c r="B472" t="s">
        <v>817</v>
      </c>
      <c r="C472" t="s">
        <v>818</v>
      </c>
      <c r="D472" t="s">
        <v>68</v>
      </c>
      <c r="E472" t="s">
        <v>69</v>
      </c>
      <c r="F472" t="str">
        <f>IFERROR(INDEX(Aux!E:E,MATCH(Dados!E472,Aux!D:D,0)),INDEX(Aux!K:K,MATCH(Dados!B472,Aux!I:I,0)))</f>
        <v>Indefinido</v>
      </c>
      <c r="G472" s="2">
        <v>22517</v>
      </c>
      <c r="H472" s="2">
        <v>0</v>
      </c>
    </row>
    <row r="473" spans="1:8" x14ac:dyDescent="0.3">
      <c r="A473" t="s">
        <v>931</v>
      </c>
      <c r="B473" t="s">
        <v>334</v>
      </c>
      <c r="C473" t="s">
        <v>335</v>
      </c>
      <c r="D473" t="s">
        <v>24</v>
      </c>
      <c r="E473" t="s">
        <v>25</v>
      </c>
      <c r="F473" t="str">
        <f>IFERROR(INDEX(Aux!E:E,MATCH(Dados!E473,Aux!D:D,0)),INDEX(Aux!K:K,MATCH(Dados!B473,Aux!I:I,0)))</f>
        <v>Centro esquerda</v>
      </c>
      <c r="G473" s="2">
        <v>22338</v>
      </c>
      <c r="H473" s="2">
        <v>0</v>
      </c>
    </row>
    <row r="474" spans="1:8" x14ac:dyDescent="0.3">
      <c r="A474" t="s">
        <v>938</v>
      </c>
      <c r="B474" t="s">
        <v>893</v>
      </c>
      <c r="C474" t="s">
        <v>894</v>
      </c>
      <c r="D474" t="s">
        <v>10</v>
      </c>
      <c r="E474" t="s">
        <v>11</v>
      </c>
      <c r="F474" t="str">
        <f>IFERROR(INDEX(Aux!E:E,MATCH(Dados!E474,Aux!D:D,0)),INDEX(Aux!K:K,MATCH(Dados!B474,Aux!I:I,0)))</f>
        <v>Indefinido</v>
      </c>
      <c r="G474" s="2">
        <v>22263</v>
      </c>
      <c r="H474" s="2">
        <v>0</v>
      </c>
    </row>
    <row r="475" spans="1:8" x14ac:dyDescent="0.3">
      <c r="A475" t="s">
        <v>938</v>
      </c>
      <c r="B475" t="s">
        <v>4</v>
      </c>
      <c r="C475" t="s">
        <v>5</v>
      </c>
      <c r="D475" t="s">
        <v>10</v>
      </c>
      <c r="E475" t="s">
        <v>11</v>
      </c>
      <c r="F475" t="str">
        <f>IFERROR(INDEX(Aux!E:E,MATCH(Dados!E475,Aux!D:D,0)),INDEX(Aux!K:K,MATCH(Dados!B475,Aux!I:I,0)))</f>
        <v>Indefinido</v>
      </c>
      <c r="G475" s="2">
        <v>22219</v>
      </c>
      <c r="H475" s="2">
        <v>0</v>
      </c>
    </row>
    <row r="476" spans="1:8" x14ac:dyDescent="0.3">
      <c r="A476" t="s">
        <v>934</v>
      </c>
      <c r="B476" t="s">
        <v>831</v>
      </c>
      <c r="C476" t="s">
        <v>832</v>
      </c>
      <c r="D476" t="s">
        <v>853</v>
      </c>
      <c r="E476" t="s">
        <v>854</v>
      </c>
      <c r="F476" t="str">
        <f>IFERROR(INDEX(Aux!E:E,MATCH(Dados!E476,Aux!D:D,0)),INDEX(Aux!K:K,MATCH(Dados!B476,Aux!I:I,0)))</f>
        <v>Indefinido</v>
      </c>
      <c r="G476" s="2">
        <v>21955</v>
      </c>
      <c r="H476" s="2">
        <v>0</v>
      </c>
    </row>
    <row r="477" spans="1:8" x14ac:dyDescent="0.3">
      <c r="A477" t="s">
        <v>937</v>
      </c>
      <c r="B477" t="s">
        <v>690</v>
      </c>
      <c r="C477" t="s">
        <v>691</v>
      </c>
      <c r="D477" t="s">
        <v>655</v>
      </c>
      <c r="E477" t="s">
        <v>656</v>
      </c>
      <c r="F477" t="str">
        <f>IFERROR(INDEX(Aux!E:E,MATCH(Dados!E477,Aux!D:D,0)),INDEX(Aux!K:K,MATCH(Dados!B477,Aux!I:I,0)))</f>
        <v>Esquerda</v>
      </c>
      <c r="G477" s="2">
        <v>21931</v>
      </c>
      <c r="H477" s="2">
        <v>0</v>
      </c>
    </row>
    <row r="478" spans="1:8" x14ac:dyDescent="0.3">
      <c r="A478" t="s">
        <v>920</v>
      </c>
      <c r="B478" t="s">
        <v>737</v>
      </c>
      <c r="C478" t="s">
        <v>738</v>
      </c>
      <c r="D478" t="s">
        <v>363</v>
      </c>
      <c r="E478" t="s">
        <v>364</v>
      </c>
      <c r="F478" t="str">
        <f>IFERROR(INDEX(Aux!E:E,MATCH(Dados!E478,Aux!D:D,0)),INDEX(Aux!K:K,MATCH(Dados!B478,Aux!I:I,0)))</f>
        <v>Centro direita</v>
      </c>
      <c r="G478" s="2">
        <v>21926</v>
      </c>
      <c r="H478" s="2">
        <v>81654</v>
      </c>
    </row>
    <row r="479" spans="1:8" x14ac:dyDescent="0.3">
      <c r="A479" t="s">
        <v>937</v>
      </c>
      <c r="B479" t="s">
        <v>440</v>
      </c>
      <c r="C479" t="s">
        <v>441</v>
      </c>
      <c r="D479" t="s">
        <v>74</v>
      </c>
      <c r="E479" t="s">
        <v>75</v>
      </c>
      <c r="F479" t="str">
        <f>IFERROR(INDEX(Aux!E:E,MATCH(Dados!E479,Aux!D:D,0)),INDEX(Aux!K:K,MATCH(Dados!B479,Aux!I:I,0)))</f>
        <v>Centro esquerda</v>
      </c>
      <c r="G479" s="2">
        <v>21895</v>
      </c>
      <c r="H479" s="2">
        <v>0</v>
      </c>
    </row>
    <row r="480" spans="1:8" x14ac:dyDescent="0.3">
      <c r="A480" t="s">
        <v>928</v>
      </c>
      <c r="B480" t="s">
        <v>334</v>
      </c>
      <c r="C480" t="s">
        <v>335</v>
      </c>
      <c r="D480" t="s">
        <v>383</v>
      </c>
      <c r="E480" t="s">
        <v>384</v>
      </c>
      <c r="F480" t="str">
        <f>IFERROR(INDEX(Aux!E:E,MATCH(Dados!E480,Aux!D:D,0)),INDEX(Aux!K:K,MATCH(Dados!B480,Aux!I:I,0)))</f>
        <v>Centro</v>
      </c>
      <c r="G480" s="2">
        <v>21324</v>
      </c>
      <c r="H480" s="2">
        <v>0</v>
      </c>
    </row>
    <row r="481" spans="1:8" x14ac:dyDescent="0.3">
      <c r="A481" t="s">
        <v>926</v>
      </c>
      <c r="B481" t="s">
        <v>540</v>
      </c>
      <c r="C481" t="s">
        <v>541</v>
      </c>
      <c r="D481" t="s">
        <v>100</v>
      </c>
      <c r="E481" t="s">
        <v>540</v>
      </c>
      <c r="F481" t="str">
        <f>IFERROR(INDEX(Aux!E:E,MATCH(Dados!E481,Aux!D:D,0)),INDEX(Aux!K:K,MATCH(Dados!B481,Aux!I:I,0)))</f>
        <v>Esquerda</v>
      </c>
      <c r="G481" s="2">
        <v>21141</v>
      </c>
      <c r="H481" s="2">
        <v>14912</v>
      </c>
    </row>
    <row r="482" spans="1:8" x14ac:dyDescent="0.3">
      <c r="A482" t="s">
        <v>921</v>
      </c>
      <c r="B482" t="s">
        <v>664</v>
      </c>
      <c r="C482" t="s">
        <v>665</v>
      </c>
      <c r="D482" t="s">
        <v>263</v>
      </c>
      <c r="E482" t="s">
        <v>264</v>
      </c>
      <c r="F482" t="str">
        <f>IFERROR(INDEX(Aux!E:E,MATCH(Dados!E482,Aux!D:D,0)),INDEX(Aux!K:K,MATCH(Dados!B482,Aux!I:I,0)))</f>
        <v>Centro direita</v>
      </c>
      <c r="G482" s="2">
        <v>21028</v>
      </c>
      <c r="H482" s="2">
        <v>0</v>
      </c>
    </row>
    <row r="483" spans="1:8" x14ac:dyDescent="0.3">
      <c r="A483" t="s">
        <v>922</v>
      </c>
      <c r="B483" t="s">
        <v>641</v>
      </c>
      <c r="C483" t="s">
        <v>642</v>
      </c>
      <c r="D483" t="s">
        <v>410</v>
      </c>
      <c r="E483" t="s">
        <v>411</v>
      </c>
      <c r="F483" t="str">
        <f>IFERROR(INDEX(Aux!E:E,MATCH(Dados!E483,Aux!D:D,0)),INDEX(Aux!K:K,MATCH(Dados!B483,Aux!I:I,0)))</f>
        <v>Centro esquerda</v>
      </c>
      <c r="G483" s="2">
        <v>20349</v>
      </c>
      <c r="H483" s="2">
        <v>0</v>
      </c>
    </row>
    <row r="484" spans="1:8" x14ac:dyDescent="0.3">
      <c r="A484" t="s">
        <v>937</v>
      </c>
      <c r="B484" t="s">
        <v>641</v>
      </c>
      <c r="C484" t="s">
        <v>642</v>
      </c>
      <c r="D484" t="s">
        <v>655</v>
      </c>
      <c r="E484" t="s">
        <v>656</v>
      </c>
      <c r="F484" t="str">
        <f>IFERROR(INDEX(Aux!E:E,MATCH(Dados!E484,Aux!D:D,0)),INDEX(Aux!K:K,MATCH(Dados!B484,Aux!I:I,0)))</f>
        <v>Esquerda</v>
      </c>
      <c r="G484" s="2">
        <v>20297</v>
      </c>
      <c r="H484" s="2">
        <v>0</v>
      </c>
    </row>
    <row r="485" spans="1:8" x14ac:dyDescent="0.3">
      <c r="A485" t="s">
        <v>933</v>
      </c>
      <c r="B485" t="s">
        <v>866</v>
      </c>
      <c r="C485" t="s">
        <v>867</v>
      </c>
      <c r="D485" t="s">
        <v>214</v>
      </c>
      <c r="E485" t="s">
        <v>215</v>
      </c>
      <c r="F485" t="str">
        <f>IFERROR(INDEX(Aux!E:E,MATCH(Dados!E485,Aux!D:D,0)),INDEX(Aux!K:K,MATCH(Dados!B485,Aux!I:I,0)))</f>
        <v>Centro</v>
      </c>
      <c r="G485" s="2">
        <v>20280</v>
      </c>
      <c r="H485" s="2">
        <v>0</v>
      </c>
    </row>
    <row r="486" spans="1:8" x14ac:dyDescent="0.3">
      <c r="A486" t="s">
        <v>933</v>
      </c>
      <c r="B486" t="s">
        <v>388</v>
      </c>
      <c r="C486" t="s">
        <v>389</v>
      </c>
      <c r="D486" t="s">
        <v>398</v>
      </c>
      <c r="E486" t="s">
        <v>399</v>
      </c>
      <c r="F486" t="str">
        <f>IFERROR(INDEX(Aux!E:E,MATCH(Dados!E486,Aux!D:D,0)),INDEX(Aux!K:K,MATCH(Dados!B486,Aux!I:I,0)))</f>
        <v>Indefinido</v>
      </c>
      <c r="G486" s="2">
        <v>20207</v>
      </c>
      <c r="H486" s="2">
        <v>0</v>
      </c>
    </row>
    <row r="487" spans="1:8" x14ac:dyDescent="0.3">
      <c r="A487" t="s">
        <v>924</v>
      </c>
      <c r="B487" t="s">
        <v>690</v>
      </c>
      <c r="C487" t="s">
        <v>691</v>
      </c>
      <c r="D487" t="s">
        <v>574</v>
      </c>
      <c r="E487" t="s">
        <v>575</v>
      </c>
      <c r="F487" t="str">
        <f>IFERROR(INDEX(Aux!E:E,MATCH(Dados!E487,Aux!D:D,0)),INDEX(Aux!K:K,MATCH(Dados!B487,Aux!I:I,0)))</f>
        <v>Centro</v>
      </c>
      <c r="G487" s="2">
        <v>20116</v>
      </c>
      <c r="H487" s="2">
        <v>15239</v>
      </c>
    </row>
    <row r="488" spans="1:8" x14ac:dyDescent="0.3">
      <c r="A488" t="s">
        <v>936</v>
      </c>
      <c r="B488" t="s">
        <v>737</v>
      </c>
      <c r="C488" t="s">
        <v>738</v>
      </c>
      <c r="D488" t="s">
        <v>749</v>
      </c>
      <c r="E488" t="s">
        <v>750</v>
      </c>
      <c r="F488" t="str">
        <f>IFERROR(INDEX(Aux!E:E,MATCH(Dados!E488,Aux!D:D,0)),INDEX(Aux!K:K,MATCH(Dados!B488,Aux!I:I,0)))</f>
        <v>Centro esquerda</v>
      </c>
      <c r="G488" s="2">
        <v>20101</v>
      </c>
      <c r="H488" s="2">
        <v>0</v>
      </c>
    </row>
    <row r="489" spans="1:8" x14ac:dyDescent="0.3">
      <c r="A489" t="s">
        <v>939</v>
      </c>
      <c r="B489" t="s">
        <v>690</v>
      </c>
      <c r="C489" t="s">
        <v>691</v>
      </c>
      <c r="D489" t="s">
        <v>703</v>
      </c>
      <c r="E489" t="s">
        <v>704</v>
      </c>
      <c r="F489" t="str">
        <f>IFERROR(INDEX(Aux!E:E,MATCH(Dados!E489,Aux!D:D,0)),INDEX(Aux!K:K,MATCH(Dados!B489,Aux!I:I,0)))</f>
        <v>Centro</v>
      </c>
      <c r="G489" s="2">
        <v>19993</v>
      </c>
      <c r="H489" s="2">
        <v>0</v>
      </c>
    </row>
    <row r="490" spans="1:8" x14ac:dyDescent="0.3">
      <c r="A490" t="s">
        <v>935</v>
      </c>
      <c r="B490" t="s">
        <v>540</v>
      </c>
      <c r="C490" t="s">
        <v>541</v>
      </c>
      <c r="D490" t="s">
        <v>100</v>
      </c>
      <c r="E490" t="s">
        <v>540</v>
      </c>
      <c r="F490" t="str">
        <f>IFERROR(INDEX(Aux!E:E,MATCH(Dados!E490,Aux!D:D,0)),INDEX(Aux!K:K,MATCH(Dados!B490,Aux!I:I,0)))</f>
        <v>Esquerda</v>
      </c>
      <c r="G490" s="2">
        <v>19554</v>
      </c>
      <c r="H490" s="2">
        <v>12740</v>
      </c>
    </row>
    <row r="491" spans="1:8" x14ac:dyDescent="0.3">
      <c r="A491" t="s">
        <v>932</v>
      </c>
      <c r="B491" t="s">
        <v>857</v>
      </c>
      <c r="C491" t="s">
        <v>858</v>
      </c>
      <c r="D491" t="s">
        <v>255</v>
      </c>
      <c r="E491" t="s">
        <v>256</v>
      </c>
      <c r="F491" t="str">
        <f>IFERROR(INDEX(Aux!E:E,MATCH(Dados!E491,Aux!D:D,0)),INDEX(Aux!K:K,MATCH(Dados!B491,Aux!I:I,0)))</f>
        <v>Centro esquerda</v>
      </c>
      <c r="G491" s="2">
        <v>19317</v>
      </c>
      <c r="H491" s="2">
        <v>0</v>
      </c>
    </row>
    <row r="492" spans="1:8" x14ac:dyDescent="0.3">
      <c r="A492" t="s">
        <v>918</v>
      </c>
      <c r="B492" t="s">
        <v>783</v>
      </c>
      <c r="C492" t="s">
        <v>784</v>
      </c>
      <c r="D492" t="s">
        <v>468</v>
      </c>
      <c r="E492" t="s">
        <v>469</v>
      </c>
      <c r="F492" t="str">
        <f>IFERROR(INDEX(Aux!E:E,MATCH(Dados!E492,Aux!D:D,0)),INDEX(Aux!K:K,MATCH(Dados!B492,Aux!I:I,0)))</f>
        <v>Indefinido</v>
      </c>
      <c r="G492" s="2">
        <v>19231</v>
      </c>
      <c r="H492" s="2">
        <v>0</v>
      </c>
    </row>
    <row r="493" spans="1:8" x14ac:dyDescent="0.3">
      <c r="A493" t="s">
        <v>939</v>
      </c>
      <c r="B493" t="s">
        <v>135</v>
      </c>
      <c r="C493" t="s">
        <v>136</v>
      </c>
      <c r="D493" t="s">
        <v>42</v>
      </c>
      <c r="E493" t="s">
        <v>43</v>
      </c>
      <c r="F493" t="str">
        <f>IFERROR(INDEX(Aux!E:E,MATCH(Dados!E493,Aux!D:D,0)),INDEX(Aux!K:K,MATCH(Dados!B493,Aux!I:I,0)))</f>
        <v>Centro</v>
      </c>
      <c r="G493" s="2">
        <v>19201</v>
      </c>
      <c r="H493" s="2">
        <v>0</v>
      </c>
    </row>
    <row r="494" spans="1:8" x14ac:dyDescent="0.3">
      <c r="A494" t="s">
        <v>929</v>
      </c>
      <c r="B494" t="s">
        <v>206</v>
      </c>
      <c r="C494" t="s">
        <v>207</v>
      </c>
      <c r="D494" t="s">
        <v>226</v>
      </c>
      <c r="E494" t="s">
        <v>227</v>
      </c>
      <c r="F494" t="str">
        <f>IFERROR(INDEX(Aux!E:E,MATCH(Dados!E494,Aux!D:D,0)),INDEX(Aux!K:K,MATCH(Dados!B494,Aux!I:I,0)))</f>
        <v>Indefinido</v>
      </c>
      <c r="G494" s="2">
        <v>19015</v>
      </c>
      <c r="H494" s="2">
        <v>0</v>
      </c>
    </row>
    <row r="495" spans="1:8" x14ac:dyDescent="0.3">
      <c r="A495" t="s">
        <v>931</v>
      </c>
      <c r="B495" t="s">
        <v>817</v>
      </c>
      <c r="C495" t="s">
        <v>818</v>
      </c>
      <c r="D495" t="s">
        <v>24</v>
      </c>
      <c r="E495" t="s">
        <v>25</v>
      </c>
      <c r="F495" t="str">
        <f>IFERROR(INDEX(Aux!E:E,MATCH(Dados!E495,Aux!D:D,0)),INDEX(Aux!K:K,MATCH(Dados!B495,Aux!I:I,0)))</f>
        <v>Centro esquerda</v>
      </c>
      <c r="G495" s="2">
        <v>18862</v>
      </c>
      <c r="H495" s="2">
        <v>0</v>
      </c>
    </row>
    <row r="496" spans="1:8" x14ac:dyDescent="0.3">
      <c r="A496" t="s">
        <v>927</v>
      </c>
      <c r="B496" t="s">
        <v>785</v>
      </c>
      <c r="C496" t="s">
        <v>786</v>
      </c>
      <c r="D496" t="s">
        <v>100</v>
      </c>
      <c r="E496" t="s">
        <v>785</v>
      </c>
      <c r="F496" t="str">
        <f>IFERROR(INDEX(Aux!E:E,MATCH(Dados!E496,Aux!D:D,0)),INDEX(Aux!K:K,MATCH(Dados!B496,Aux!I:I,0)))</f>
        <v>Centro direita</v>
      </c>
      <c r="G496" s="2">
        <v>18693</v>
      </c>
      <c r="H496" s="2">
        <v>0</v>
      </c>
    </row>
    <row r="497" spans="1:8" x14ac:dyDescent="0.3">
      <c r="A497" t="s">
        <v>926</v>
      </c>
      <c r="B497" t="s">
        <v>899</v>
      </c>
      <c r="C497" t="s">
        <v>900</v>
      </c>
      <c r="D497" t="s">
        <v>564</v>
      </c>
      <c r="E497" t="s">
        <v>565</v>
      </c>
      <c r="F497" t="str">
        <f>IFERROR(INDEX(Aux!E:E,MATCH(Dados!E497,Aux!D:D,0)),INDEX(Aux!K:K,MATCH(Dados!B497,Aux!I:I,0)))</f>
        <v>Direita</v>
      </c>
      <c r="G497" s="2">
        <v>18596</v>
      </c>
      <c r="H497" s="2">
        <v>0</v>
      </c>
    </row>
    <row r="498" spans="1:8" x14ac:dyDescent="0.3">
      <c r="A498" t="s">
        <v>940</v>
      </c>
      <c r="B498" t="s">
        <v>857</v>
      </c>
      <c r="C498" t="s">
        <v>858</v>
      </c>
      <c r="D498" t="s">
        <v>745</v>
      </c>
      <c r="E498" t="s">
        <v>746</v>
      </c>
      <c r="F498" t="str">
        <f>IFERROR(INDEX(Aux!E:E,MATCH(Dados!E498,Aux!D:D,0)),INDEX(Aux!K:K,MATCH(Dados!B498,Aux!I:I,0)))</f>
        <v>Centro direita</v>
      </c>
      <c r="G498" s="2">
        <v>18553</v>
      </c>
      <c r="H498" s="2">
        <v>0</v>
      </c>
    </row>
    <row r="499" spans="1:8" x14ac:dyDescent="0.3">
      <c r="A499" t="s">
        <v>923</v>
      </c>
      <c r="B499" t="s">
        <v>866</v>
      </c>
      <c r="C499" t="s">
        <v>867</v>
      </c>
      <c r="D499" t="s">
        <v>34</v>
      </c>
      <c r="E499" t="s">
        <v>35</v>
      </c>
      <c r="F499" t="str">
        <f>IFERROR(INDEX(Aux!E:E,MATCH(Dados!E499,Aux!D:D,0)),INDEX(Aux!K:K,MATCH(Dados!B499,Aux!I:I,0)))</f>
        <v>Indefinido</v>
      </c>
      <c r="G499" s="2">
        <v>18397</v>
      </c>
      <c r="H499" s="2">
        <v>0</v>
      </c>
    </row>
    <row r="500" spans="1:8" x14ac:dyDescent="0.3">
      <c r="A500" t="s">
        <v>934</v>
      </c>
      <c r="B500" t="s">
        <v>902</v>
      </c>
      <c r="C500" t="s">
        <v>902</v>
      </c>
      <c r="D500" t="s">
        <v>593</v>
      </c>
      <c r="E500" t="s">
        <v>594</v>
      </c>
      <c r="F500" t="str">
        <f>IFERROR(INDEX(Aux!E:E,MATCH(Dados!E500,Aux!D:D,0)),INDEX(Aux!K:K,MATCH(Dados!B500,Aux!I:I,0)))</f>
        <v>Centro</v>
      </c>
      <c r="G500" s="2">
        <v>18389</v>
      </c>
      <c r="H500" s="2">
        <v>0</v>
      </c>
    </row>
    <row r="501" spans="1:8" x14ac:dyDescent="0.3">
      <c r="A501" t="s">
        <v>938</v>
      </c>
      <c r="B501" t="s">
        <v>871</v>
      </c>
      <c r="C501" t="s">
        <v>872</v>
      </c>
      <c r="D501" t="s">
        <v>500</v>
      </c>
      <c r="E501" t="s">
        <v>501</v>
      </c>
      <c r="F501" t="str">
        <f>IFERROR(INDEX(Aux!E:E,MATCH(Dados!E501,Aux!D:D,0)),INDEX(Aux!K:K,MATCH(Dados!B501,Aux!I:I,0)))</f>
        <v>Direita</v>
      </c>
      <c r="G501" s="2">
        <v>18374</v>
      </c>
      <c r="H501" s="2">
        <v>0</v>
      </c>
    </row>
    <row r="502" spans="1:8" x14ac:dyDescent="0.3">
      <c r="A502" t="s">
        <v>920</v>
      </c>
      <c r="B502" t="s">
        <v>135</v>
      </c>
      <c r="C502" t="s">
        <v>136</v>
      </c>
      <c r="D502" t="s">
        <v>100</v>
      </c>
      <c r="E502" t="s">
        <v>135</v>
      </c>
      <c r="F502" t="str">
        <f>IFERROR(INDEX(Aux!E:E,MATCH(Dados!E502,Aux!D:D,0)),INDEX(Aux!K:K,MATCH(Dados!B502,Aux!I:I,0)))</f>
        <v>Centro esquerda</v>
      </c>
      <c r="G502" s="2">
        <v>18205</v>
      </c>
      <c r="H502" s="2">
        <v>26670</v>
      </c>
    </row>
    <row r="503" spans="1:8" x14ac:dyDescent="0.3">
      <c r="A503" t="s">
        <v>930</v>
      </c>
      <c r="B503" t="s">
        <v>334</v>
      </c>
      <c r="C503" t="s">
        <v>335</v>
      </c>
      <c r="D503" t="s">
        <v>20</v>
      </c>
      <c r="E503" t="s">
        <v>21</v>
      </c>
      <c r="F503" t="str">
        <f>IFERROR(INDEX(Aux!E:E,MATCH(Dados!E503,Aux!D:D,0)),INDEX(Aux!K:K,MATCH(Dados!B503,Aux!I:I,0)))</f>
        <v>Centro direita</v>
      </c>
      <c r="G503" s="2">
        <v>18058</v>
      </c>
      <c r="H503" s="2">
        <v>0</v>
      </c>
    </row>
    <row r="504" spans="1:8" x14ac:dyDescent="0.3">
      <c r="A504" t="s">
        <v>931</v>
      </c>
      <c r="B504" t="s">
        <v>690</v>
      </c>
      <c r="C504" t="s">
        <v>691</v>
      </c>
      <c r="D504" t="s">
        <v>222</v>
      </c>
      <c r="E504" t="s">
        <v>223</v>
      </c>
      <c r="F504" t="str">
        <f>IFERROR(INDEX(Aux!E:E,MATCH(Dados!E504,Aux!D:D,0)),INDEX(Aux!K:K,MATCH(Dados!B504,Aux!I:I,0)))</f>
        <v>Centro esquerda</v>
      </c>
      <c r="G504" s="2">
        <v>18041</v>
      </c>
      <c r="H504" s="2">
        <v>0</v>
      </c>
    </row>
    <row r="505" spans="1:8" x14ac:dyDescent="0.3">
      <c r="A505" t="s">
        <v>920</v>
      </c>
      <c r="B505" t="s">
        <v>899</v>
      </c>
      <c r="C505" t="s">
        <v>900</v>
      </c>
      <c r="D505" t="s">
        <v>100</v>
      </c>
      <c r="E505" t="s">
        <v>899</v>
      </c>
      <c r="F505" t="str">
        <f>IFERROR(INDEX(Aux!E:E,MATCH(Dados!E505,Aux!D:D,0)),INDEX(Aux!K:K,MATCH(Dados!B505,Aux!I:I,0)))</f>
        <v>Direita</v>
      </c>
      <c r="G505" s="2">
        <v>17897</v>
      </c>
      <c r="H505" s="2">
        <v>0</v>
      </c>
    </row>
    <row r="506" spans="1:8" x14ac:dyDescent="0.3">
      <c r="A506" t="s">
        <v>918</v>
      </c>
      <c r="B506" t="s">
        <v>641</v>
      </c>
      <c r="C506" t="s">
        <v>642</v>
      </c>
      <c r="D506" t="s">
        <v>80</v>
      </c>
      <c r="E506" t="s">
        <v>81</v>
      </c>
      <c r="F506" t="str">
        <f>IFERROR(INDEX(Aux!E:E,MATCH(Dados!E506,Aux!D:D,0)),INDEX(Aux!K:K,MATCH(Dados!B506,Aux!I:I,0)))</f>
        <v>Centro</v>
      </c>
      <c r="G506" s="2">
        <v>17847</v>
      </c>
      <c r="H506" s="2">
        <v>211</v>
      </c>
    </row>
    <row r="507" spans="1:8" x14ac:dyDescent="0.3">
      <c r="A507" t="s">
        <v>939</v>
      </c>
      <c r="B507" t="s">
        <v>902</v>
      </c>
      <c r="C507" t="s">
        <v>902</v>
      </c>
      <c r="D507" t="s">
        <v>42</v>
      </c>
      <c r="E507" t="s">
        <v>43</v>
      </c>
      <c r="F507" t="str">
        <f>IFERROR(INDEX(Aux!E:E,MATCH(Dados!E507,Aux!D:D,0)),INDEX(Aux!K:K,MATCH(Dados!B507,Aux!I:I,0)))</f>
        <v>Centro</v>
      </c>
      <c r="G507" s="2">
        <v>17753</v>
      </c>
      <c r="H507" s="2">
        <v>0</v>
      </c>
    </row>
    <row r="508" spans="1:8" x14ac:dyDescent="0.3">
      <c r="A508" t="s">
        <v>918</v>
      </c>
      <c r="B508" t="s">
        <v>899</v>
      </c>
      <c r="C508" t="s">
        <v>900</v>
      </c>
      <c r="D508" t="s">
        <v>597</v>
      </c>
      <c r="E508" t="s">
        <v>598</v>
      </c>
      <c r="F508" t="str">
        <f>IFERROR(INDEX(Aux!E:E,MATCH(Dados!E508,Aux!D:D,0)),INDEX(Aux!K:K,MATCH(Dados!B508,Aux!I:I,0)))</f>
        <v>Direita</v>
      </c>
      <c r="G508" s="2">
        <v>17617</v>
      </c>
      <c r="H508" s="2">
        <v>40413</v>
      </c>
    </row>
    <row r="509" spans="1:8" x14ac:dyDescent="0.3">
      <c r="A509" t="s">
        <v>940</v>
      </c>
      <c r="B509" t="s">
        <v>599</v>
      </c>
      <c r="C509" t="s">
        <v>600</v>
      </c>
      <c r="D509" t="s">
        <v>86</v>
      </c>
      <c r="E509" t="s">
        <v>87</v>
      </c>
      <c r="F509" t="str">
        <f>IFERROR(INDEX(Aux!E:E,MATCH(Dados!E509,Aux!D:D,0)),INDEX(Aux!K:K,MATCH(Dados!B509,Aux!I:I,0)))</f>
        <v>Direita</v>
      </c>
      <c r="G509" s="2">
        <v>17401</v>
      </c>
      <c r="H509" s="2">
        <v>0</v>
      </c>
    </row>
    <row r="510" spans="1:8" x14ac:dyDescent="0.3">
      <c r="A510" t="s">
        <v>936</v>
      </c>
      <c r="B510" t="s">
        <v>599</v>
      </c>
      <c r="C510" t="s">
        <v>600</v>
      </c>
      <c r="D510" t="s">
        <v>184</v>
      </c>
      <c r="E510" t="s">
        <v>185</v>
      </c>
      <c r="F510" t="str">
        <f>IFERROR(INDEX(Aux!E:E,MATCH(Dados!E510,Aux!D:D,0)),INDEX(Aux!K:K,MATCH(Dados!B510,Aux!I:I,0)))</f>
        <v>Esquerda</v>
      </c>
      <c r="G510" s="2">
        <v>17336</v>
      </c>
      <c r="H510" s="2">
        <v>0</v>
      </c>
    </row>
    <row r="511" spans="1:8" x14ac:dyDescent="0.3">
      <c r="A511" t="s">
        <v>915</v>
      </c>
      <c r="B511" t="s">
        <v>899</v>
      </c>
      <c r="C511" t="s">
        <v>900</v>
      </c>
      <c r="D511" t="s">
        <v>100</v>
      </c>
      <c r="E511" t="s">
        <v>899</v>
      </c>
      <c r="F511" t="str">
        <f>IFERROR(INDEX(Aux!E:E,MATCH(Dados!E511,Aux!D:D,0)),INDEX(Aux!K:K,MATCH(Dados!B511,Aux!I:I,0)))</f>
        <v>Direita</v>
      </c>
      <c r="G511" s="2">
        <v>17107</v>
      </c>
      <c r="H511" s="2">
        <v>12664</v>
      </c>
    </row>
    <row r="512" spans="1:8" x14ac:dyDescent="0.3">
      <c r="A512" t="s">
        <v>921</v>
      </c>
      <c r="B512" t="s">
        <v>690</v>
      </c>
      <c r="C512" t="s">
        <v>691</v>
      </c>
      <c r="D512" t="s">
        <v>263</v>
      </c>
      <c r="E512" t="s">
        <v>264</v>
      </c>
      <c r="F512" t="str">
        <f>IFERROR(INDEX(Aux!E:E,MATCH(Dados!E512,Aux!D:D,0)),INDEX(Aux!K:K,MATCH(Dados!B512,Aux!I:I,0)))</f>
        <v>Centro direita</v>
      </c>
      <c r="G512" s="2">
        <v>16997</v>
      </c>
      <c r="H512" s="2">
        <v>0</v>
      </c>
    </row>
    <row r="513" spans="1:8" x14ac:dyDescent="0.3">
      <c r="A513" t="s">
        <v>921</v>
      </c>
      <c r="B513" t="s">
        <v>282</v>
      </c>
      <c r="C513" t="s">
        <v>283</v>
      </c>
      <c r="D513" t="s">
        <v>316</v>
      </c>
      <c r="E513" t="s">
        <v>317</v>
      </c>
      <c r="F513" t="str">
        <f>IFERROR(INDEX(Aux!E:E,MATCH(Dados!E513,Aux!D:D,0)),INDEX(Aux!K:K,MATCH(Dados!B513,Aux!I:I,0)))</f>
        <v>Direita</v>
      </c>
      <c r="G513" s="2">
        <v>16956</v>
      </c>
      <c r="H513" s="2">
        <v>16058</v>
      </c>
    </row>
    <row r="514" spans="1:8" x14ac:dyDescent="0.3">
      <c r="A514" t="s">
        <v>939</v>
      </c>
      <c r="B514" t="s">
        <v>440</v>
      </c>
      <c r="C514" t="s">
        <v>441</v>
      </c>
      <c r="D514" t="s">
        <v>416</v>
      </c>
      <c r="E514" t="s">
        <v>417</v>
      </c>
      <c r="F514" t="str">
        <f>IFERROR(INDEX(Aux!E:E,MATCH(Dados!E514,Aux!D:D,0)),INDEX(Aux!K:K,MATCH(Dados!B514,Aux!I:I,0)))</f>
        <v>Direita</v>
      </c>
      <c r="G514" s="2">
        <v>16723</v>
      </c>
      <c r="H514" s="2">
        <v>0</v>
      </c>
    </row>
    <row r="515" spans="1:8" x14ac:dyDescent="0.3">
      <c r="A515" t="s">
        <v>939</v>
      </c>
      <c r="B515" t="s">
        <v>893</v>
      </c>
      <c r="C515" t="s">
        <v>894</v>
      </c>
      <c r="D515" t="s">
        <v>613</v>
      </c>
      <c r="E515" t="s">
        <v>614</v>
      </c>
      <c r="F515" t="str">
        <f>IFERROR(INDEX(Aux!E:E,MATCH(Dados!E515,Aux!D:D,0)),INDEX(Aux!K:K,MATCH(Dados!B515,Aux!I:I,0)))</f>
        <v>Indefinido</v>
      </c>
      <c r="G515" s="2">
        <v>16627</v>
      </c>
      <c r="H515" s="2">
        <v>0</v>
      </c>
    </row>
    <row r="516" spans="1:8" x14ac:dyDescent="0.3">
      <c r="A516" t="s">
        <v>939</v>
      </c>
      <c r="B516" t="s">
        <v>716</v>
      </c>
      <c r="C516" t="s">
        <v>717</v>
      </c>
      <c r="D516" t="s">
        <v>416</v>
      </c>
      <c r="E516" t="s">
        <v>417</v>
      </c>
      <c r="F516" t="str">
        <f>IFERROR(INDEX(Aux!E:E,MATCH(Dados!E516,Aux!D:D,0)),INDEX(Aux!K:K,MATCH(Dados!B516,Aux!I:I,0)))</f>
        <v>Direita</v>
      </c>
      <c r="G516" s="2">
        <v>16519</v>
      </c>
      <c r="H516" s="2">
        <v>0</v>
      </c>
    </row>
    <row r="517" spans="1:8" x14ac:dyDescent="0.3">
      <c r="A517" t="s">
        <v>922</v>
      </c>
      <c r="B517" t="s">
        <v>282</v>
      </c>
      <c r="C517" t="s">
        <v>283</v>
      </c>
      <c r="D517" t="s">
        <v>314</v>
      </c>
      <c r="E517" t="s">
        <v>315</v>
      </c>
      <c r="F517" t="str">
        <f>IFERROR(INDEX(Aux!E:E,MATCH(Dados!E517,Aux!D:D,0)),INDEX(Aux!K:K,MATCH(Dados!B517,Aux!I:I,0)))</f>
        <v>Direita</v>
      </c>
      <c r="G517" s="2">
        <v>16458</v>
      </c>
      <c r="H517" s="2">
        <v>0</v>
      </c>
    </row>
    <row r="518" spans="1:8" x14ac:dyDescent="0.3">
      <c r="A518" t="s">
        <v>940</v>
      </c>
      <c r="B518" t="s">
        <v>831</v>
      </c>
      <c r="C518" t="s">
        <v>832</v>
      </c>
      <c r="D518" t="s">
        <v>778</v>
      </c>
      <c r="E518" t="s">
        <v>779</v>
      </c>
      <c r="F518" t="str">
        <f>IFERROR(INDEX(Aux!E:E,MATCH(Dados!E518,Aux!D:D,0)),INDEX(Aux!K:K,MATCH(Dados!B518,Aux!I:I,0)))</f>
        <v>Indefinido</v>
      </c>
      <c r="G518" s="2">
        <v>16198</v>
      </c>
      <c r="H518" s="2">
        <v>0</v>
      </c>
    </row>
    <row r="519" spans="1:8" x14ac:dyDescent="0.3">
      <c r="A519" t="s">
        <v>931</v>
      </c>
      <c r="B519" t="s">
        <v>866</v>
      </c>
      <c r="C519" t="s">
        <v>867</v>
      </c>
      <c r="D519" t="s">
        <v>222</v>
      </c>
      <c r="E519" t="s">
        <v>223</v>
      </c>
      <c r="F519" t="str">
        <f>IFERROR(INDEX(Aux!E:E,MATCH(Dados!E519,Aux!D:D,0)),INDEX(Aux!K:K,MATCH(Dados!B519,Aux!I:I,0)))</f>
        <v>Centro esquerda</v>
      </c>
      <c r="G519" s="2">
        <v>16120</v>
      </c>
      <c r="H519" s="2">
        <v>0</v>
      </c>
    </row>
    <row r="520" spans="1:8" x14ac:dyDescent="0.3">
      <c r="A520" t="s">
        <v>919</v>
      </c>
      <c r="B520" t="s">
        <v>871</v>
      </c>
      <c r="C520" t="s">
        <v>872</v>
      </c>
      <c r="D520" t="s">
        <v>58</v>
      </c>
      <c r="E520" t="s">
        <v>59</v>
      </c>
      <c r="F520" t="str">
        <f>IFERROR(INDEX(Aux!E:E,MATCH(Dados!E520,Aux!D:D,0)),INDEX(Aux!K:K,MATCH(Dados!B520,Aux!I:I,0)))</f>
        <v>Centro</v>
      </c>
      <c r="G520" s="2">
        <v>16050</v>
      </c>
      <c r="H520" s="2">
        <v>0</v>
      </c>
    </row>
    <row r="521" spans="1:8" x14ac:dyDescent="0.3">
      <c r="A521" t="s">
        <v>929</v>
      </c>
      <c r="B521" t="s">
        <v>787</v>
      </c>
      <c r="C521" t="s">
        <v>788</v>
      </c>
      <c r="D521" t="s">
        <v>797</v>
      </c>
      <c r="E521" t="s">
        <v>798</v>
      </c>
      <c r="F521" t="str">
        <f>IFERROR(INDEX(Aux!E:E,MATCH(Dados!E521,Aux!D:D,0)),INDEX(Aux!K:K,MATCH(Dados!B521,Aux!I:I,0)))</f>
        <v>Esquerda</v>
      </c>
      <c r="G521" s="2">
        <v>15940</v>
      </c>
      <c r="H521" s="2">
        <v>39318</v>
      </c>
    </row>
    <row r="522" spans="1:8" x14ac:dyDescent="0.3">
      <c r="A522" t="s">
        <v>930</v>
      </c>
      <c r="B522" t="s">
        <v>770</v>
      </c>
      <c r="C522" t="s">
        <v>771</v>
      </c>
      <c r="D522" t="s">
        <v>157</v>
      </c>
      <c r="E522" t="s">
        <v>158</v>
      </c>
      <c r="F522" t="str">
        <f>IFERROR(INDEX(Aux!E:E,MATCH(Dados!E522,Aux!D:D,0)),INDEX(Aux!K:K,MATCH(Dados!B522,Aux!I:I,0)))</f>
        <v>Centro</v>
      </c>
      <c r="G522" s="2">
        <v>15927</v>
      </c>
      <c r="H522" s="2">
        <v>0</v>
      </c>
    </row>
    <row r="523" spans="1:8" x14ac:dyDescent="0.3">
      <c r="A523" t="s">
        <v>935</v>
      </c>
      <c r="B523" t="s">
        <v>558</v>
      </c>
      <c r="C523" t="s">
        <v>559</v>
      </c>
      <c r="D523" t="s">
        <v>100</v>
      </c>
      <c r="E523" t="s">
        <v>558</v>
      </c>
      <c r="F523" t="str">
        <f>IFERROR(INDEX(Aux!E:E,MATCH(Dados!E523,Aux!D:D,0)),INDEX(Aux!K:K,MATCH(Dados!B523,Aux!I:I,0)))</f>
        <v>Direita</v>
      </c>
      <c r="G523" s="2">
        <v>15863</v>
      </c>
      <c r="H523" s="2">
        <v>16025</v>
      </c>
    </row>
    <row r="524" spans="1:8" x14ac:dyDescent="0.3">
      <c r="A524" t="s">
        <v>927</v>
      </c>
      <c r="B524" t="s">
        <v>787</v>
      </c>
      <c r="C524" t="s">
        <v>788</v>
      </c>
      <c r="D524" t="s">
        <v>406</v>
      </c>
      <c r="E524" t="s">
        <v>407</v>
      </c>
      <c r="F524" t="str">
        <f>IFERROR(INDEX(Aux!E:E,MATCH(Dados!E524,Aux!D:D,0)),INDEX(Aux!K:K,MATCH(Dados!B524,Aux!I:I,0)))</f>
        <v>Direita</v>
      </c>
      <c r="G524" s="2">
        <v>15727</v>
      </c>
      <c r="H524" s="2">
        <v>0</v>
      </c>
    </row>
    <row r="525" spans="1:8" x14ac:dyDescent="0.3">
      <c r="A525" t="s">
        <v>940</v>
      </c>
      <c r="B525" t="s">
        <v>875</v>
      </c>
      <c r="C525" t="s">
        <v>876</v>
      </c>
      <c r="D525" t="s">
        <v>86</v>
      </c>
      <c r="E525" t="s">
        <v>87</v>
      </c>
      <c r="F525" t="str">
        <f>IFERROR(INDEX(Aux!E:E,MATCH(Dados!E525,Aux!D:D,0)),INDEX(Aux!K:K,MATCH(Dados!B525,Aux!I:I,0)))</f>
        <v>Direita</v>
      </c>
      <c r="G525" s="2">
        <v>15677</v>
      </c>
      <c r="H525" s="2">
        <v>0</v>
      </c>
    </row>
    <row r="526" spans="1:8" x14ac:dyDescent="0.3">
      <c r="A526" t="s">
        <v>929</v>
      </c>
      <c r="B526" t="s">
        <v>641</v>
      </c>
      <c r="C526" t="s">
        <v>642</v>
      </c>
      <c r="D526" t="s">
        <v>84</v>
      </c>
      <c r="E526" t="s">
        <v>85</v>
      </c>
      <c r="F526" t="str">
        <f>IFERROR(INDEX(Aux!E:E,MATCH(Dados!E526,Aux!D:D,0)),INDEX(Aux!K:K,MATCH(Dados!B526,Aux!I:I,0)))</f>
        <v>Direita</v>
      </c>
      <c r="G526" s="2">
        <v>15582</v>
      </c>
      <c r="H526" s="2">
        <v>0</v>
      </c>
    </row>
    <row r="527" spans="1:8" x14ac:dyDescent="0.3">
      <c r="A527" t="s">
        <v>929</v>
      </c>
      <c r="B527" t="s">
        <v>334</v>
      </c>
      <c r="C527" t="s">
        <v>335</v>
      </c>
      <c r="D527" t="s">
        <v>84</v>
      </c>
      <c r="E527" t="s">
        <v>85</v>
      </c>
      <c r="F527" t="str">
        <f>IFERROR(INDEX(Aux!E:E,MATCH(Dados!E527,Aux!D:D,0)),INDEX(Aux!K:K,MATCH(Dados!B527,Aux!I:I,0)))</f>
        <v>Direita</v>
      </c>
      <c r="G527" s="2">
        <v>15562</v>
      </c>
      <c r="H527" s="2">
        <v>0</v>
      </c>
    </row>
    <row r="528" spans="1:8" x14ac:dyDescent="0.3">
      <c r="A528" t="s">
        <v>938</v>
      </c>
      <c r="B528" t="s">
        <v>857</v>
      </c>
      <c r="C528" t="s">
        <v>858</v>
      </c>
      <c r="D528" t="s">
        <v>10</v>
      </c>
      <c r="E528" t="s">
        <v>11</v>
      </c>
      <c r="F528" t="str">
        <f>IFERROR(INDEX(Aux!E:E,MATCH(Dados!E528,Aux!D:D,0)),INDEX(Aux!K:K,MATCH(Dados!B528,Aux!I:I,0)))</f>
        <v>Indefinido</v>
      </c>
      <c r="G528" s="2">
        <v>15336</v>
      </c>
      <c r="H528" s="2">
        <v>0</v>
      </c>
    </row>
    <row r="529" spans="1:8" x14ac:dyDescent="0.3">
      <c r="A529" t="s">
        <v>924</v>
      </c>
      <c r="B529" t="s">
        <v>737</v>
      </c>
      <c r="C529" t="s">
        <v>738</v>
      </c>
      <c r="D529" t="s">
        <v>100</v>
      </c>
      <c r="E529" t="s">
        <v>737</v>
      </c>
      <c r="F529" t="str">
        <f>IFERROR(INDEX(Aux!E:E,MATCH(Dados!E529,Aux!D:D,0)),INDEX(Aux!K:K,MATCH(Dados!B529,Aux!I:I,0)))</f>
        <v>Direita</v>
      </c>
      <c r="G529" s="2">
        <v>15165</v>
      </c>
      <c r="H529" s="2">
        <v>0</v>
      </c>
    </row>
    <row r="530" spans="1:8" x14ac:dyDescent="0.3">
      <c r="A530" t="s">
        <v>931</v>
      </c>
      <c r="B530" t="s">
        <v>902</v>
      </c>
      <c r="C530" t="s">
        <v>902</v>
      </c>
      <c r="D530" t="s">
        <v>666</v>
      </c>
      <c r="E530" t="s">
        <v>667</v>
      </c>
      <c r="F530" t="str">
        <f>IFERROR(INDEX(Aux!E:E,MATCH(Dados!E530,Aux!D:D,0)),INDEX(Aux!K:K,MATCH(Dados!B530,Aux!I:I,0)))</f>
        <v>Centro</v>
      </c>
      <c r="G530" s="2">
        <v>15148</v>
      </c>
      <c r="H530" s="2">
        <v>0</v>
      </c>
    </row>
    <row r="531" spans="1:8" x14ac:dyDescent="0.3">
      <c r="A531" t="s">
        <v>929</v>
      </c>
      <c r="B531" t="s">
        <v>282</v>
      </c>
      <c r="C531" t="s">
        <v>283</v>
      </c>
      <c r="D531" t="s">
        <v>312</v>
      </c>
      <c r="E531" t="s">
        <v>313</v>
      </c>
      <c r="F531" t="str">
        <f>IFERROR(INDEX(Aux!E:E,MATCH(Dados!E531,Aux!D:D,0)),INDEX(Aux!K:K,MATCH(Dados!B531,Aux!I:I,0)))</f>
        <v>Direita</v>
      </c>
      <c r="G531" s="2">
        <v>15052</v>
      </c>
      <c r="H531" s="2">
        <v>0</v>
      </c>
    </row>
    <row r="532" spans="1:8" x14ac:dyDescent="0.3">
      <c r="A532" t="s">
        <v>915</v>
      </c>
      <c r="B532" t="s">
        <v>864</v>
      </c>
      <c r="C532" t="s">
        <v>865</v>
      </c>
      <c r="D532" t="s">
        <v>278</v>
      </c>
      <c r="E532" t="s">
        <v>279</v>
      </c>
      <c r="F532" t="str">
        <f>IFERROR(INDEX(Aux!E:E,MATCH(Dados!E532,Aux!D:D,0)),INDEX(Aux!K:K,MATCH(Dados!B532,Aux!I:I,0)))</f>
        <v>Centro direita</v>
      </c>
      <c r="G532" s="2">
        <v>14921</v>
      </c>
      <c r="H532" s="2">
        <v>0</v>
      </c>
    </row>
    <row r="533" spans="1:8" x14ac:dyDescent="0.3">
      <c r="A533" t="s">
        <v>930</v>
      </c>
      <c r="B533" t="s">
        <v>690</v>
      </c>
      <c r="C533" t="s">
        <v>691</v>
      </c>
      <c r="D533" t="s">
        <v>157</v>
      </c>
      <c r="E533" t="s">
        <v>158</v>
      </c>
      <c r="F533" t="str">
        <f>IFERROR(INDEX(Aux!E:E,MATCH(Dados!E533,Aux!D:D,0)),INDEX(Aux!K:K,MATCH(Dados!B533,Aux!I:I,0)))</f>
        <v>Centro</v>
      </c>
      <c r="G533" s="2">
        <v>14913</v>
      </c>
      <c r="H533" s="2">
        <v>0</v>
      </c>
    </row>
    <row r="534" spans="1:8" x14ac:dyDescent="0.3">
      <c r="A534" t="s">
        <v>929</v>
      </c>
      <c r="B534" t="s">
        <v>540</v>
      </c>
      <c r="C534" t="s">
        <v>541</v>
      </c>
      <c r="D534" t="s">
        <v>100</v>
      </c>
      <c r="E534" t="s">
        <v>540</v>
      </c>
      <c r="F534" t="str">
        <f>IFERROR(INDEX(Aux!E:E,MATCH(Dados!E534,Aux!D:D,0)),INDEX(Aux!K:K,MATCH(Dados!B534,Aux!I:I,0)))</f>
        <v>Esquerda</v>
      </c>
      <c r="G534" s="2">
        <v>14832</v>
      </c>
      <c r="H534" s="2">
        <v>49045</v>
      </c>
    </row>
    <row r="535" spans="1:8" x14ac:dyDescent="0.3">
      <c r="A535" t="s">
        <v>940</v>
      </c>
      <c r="B535" t="s">
        <v>756</v>
      </c>
      <c r="C535" t="s">
        <v>757</v>
      </c>
      <c r="D535" t="s">
        <v>760</v>
      </c>
      <c r="E535" t="s">
        <v>761</v>
      </c>
      <c r="F535" t="str">
        <f>IFERROR(INDEX(Aux!E:E,MATCH(Dados!E535,Aux!D:D,0)),INDEX(Aux!K:K,MATCH(Dados!B535,Aux!I:I,0)))</f>
        <v>Esquerda</v>
      </c>
      <c r="G535" s="2">
        <v>14549</v>
      </c>
      <c r="H535" s="2">
        <v>0</v>
      </c>
    </row>
    <row r="536" spans="1:8" x14ac:dyDescent="0.3">
      <c r="A536" t="s">
        <v>933</v>
      </c>
      <c r="B536" t="s">
        <v>641</v>
      </c>
      <c r="C536" t="s">
        <v>642</v>
      </c>
      <c r="D536" t="s">
        <v>398</v>
      </c>
      <c r="E536" t="s">
        <v>399</v>
      </c>
      <c r="F536" t="str">
        <f>IFERROR(INDEX(Aux!E:E,MATCH(Dados!E536,Aux!D:D,0)),INDEX(Aux!K:K,MATCH(Dados!B536,Aux!I:I,0)))</f>
        <v>Indefinido</v>
      </c>
      <c r="G536" s="2">
        <v>14545</v>
      </c>
      <c r="H536" s="2">
        <v>0</v>
      </c>
    </row>
    <row r="537" spans="1:8" x14ac:dyDescent="0.3">
      <c r="A537" t="s">
        <v>920</v>
      </c>
      <c r="B537" t="s">
        <v>334</v>
      </c>
      <c r="C537" t="s">
        <v>335</v>
      </c>
      <c r="D537" t="s">
        <v>363</v>
      </c>
      <c r="E537" t="s">
        <v>364</v>
      </c>
      <c r="F537" t="str">
        <f>IFERROR(INDEX(Aux!E:E,MATCH(Dados!E537,Aux!D:D,0)),INDEX(Aux!K:K,MATCH(Dados!B537,Aux!I:I,0)))</f>
        <v>Centro direita</v>
      </c>
      <c r="G537" s="2">
        <v>14485</v>
      </c>
      <c r="H537" s="2">
        <v>13501</v>
      </c>
    </row>
    <row r="538" spans="1:8" x14ac:dyDescent="0.3">
      <c r="A538" t="s">
        <v>916</v>
      </c>
      <c r="B538" t="s">
        <v>783</v>
      </c>
      <c r="C538" t="s">
        <v>784</v>
      </c>
      <c r="D538" t="s">
        <v>100</v>
      </c>
      <c r="E538" t="s">
        <v>783</v>
      </c>
      <c r="F538" t="str">
        <f>IFERROR(INDEX(Aux!E:E,MATCH(Dados!E538,Aux!D:D,0)),INDEX(Aux!K:K,MATCH(Dados!B538,Aux!I:I,0)))</f>
        <v>Esquerda</v>
      </c>
      <c r="G538" s="2">
        <v>14262</v>
      </c>
      <c r="H538" s="2">
        <v>0</v>
      </c>
    </row>
    <row r="539" spans="1:8" x14ac:dyDescent="0.3">
      <c r="A539" t="s">
        <v>939</v>
      </c>
      <c r="B539" t="s">
        <v>871</v>
      </c>
      <c r="C539" t="s">
        <v>872</v>
      </c>
      <c r="D539" t="s">
        <v>703</v>
      </c>
      <c r="E539" t="s">
        <v>704</v>
      </c>
      <c r="F539" t="str">
        <f>IFERROR(INDEX(Aux!E:E,MATCH(Dados!E539,Aux!D:D,0)),INDEX(Aux!K:K,MATCH(Dados!B539,Aux!I:I,0)))</f>
        <v>Centro</v>
      </c>
      <c r="G539" s="2">
        <v>14196</v>
      </c>
      <c r="H539" s="2">
        <v>0</v>
      </c>
    </row>
    <row r="540" spans="1:8" x14ac:dyDescent="0.3">
      <c r="A540" t="s">
        <v>939</v>
      </c>
      <c r="B540" t="s">
        <v>831</v>
      </c>
      <c r="C540" t="s">
        <v>832</v>
      </c>
      <c r="D540" t="s">
        <v>613</v>
      </c>
      <c r="E540" t="s">
        <v>614</v>
      </c>
      <c r="F540" t="str">
        <f>IFERROR(INDEX(Aux!E:E,MATCH(Dados!E540,Aux!D:D,0)),INDEX(Aux!K:K,MATCH(Dados!B540,Aux!I:I,0)))</f>
        <v>Indefinido</v>
      </c>
      <c r="G540" s="2">
        <v>14186</v>
      </c>
      <c r="H540" s="2">
        <v>0</v>
      </c>
    </row>
    <row r="541" spans="1:8" x14ac:dyDescent="0.3">
      <c r="A541" t="s">
        <v>919</v>
      </c>
      <c r="B541" t="s">
        <v>135</v>
      </c>
      <c r="C541" t="s">
        <v>136</v>
      </c>
      <c r="D541" t="s">
        <v>198</v>
      </c>
      <c r="E541" t="s">
        <v>199</v>
      </c>
      <c r="F541" t="str">
        <f>IFERROR(INDEX(Aux!E:E,MATCH(Dados!E541,Aux!D:D,0)),INDEX(Aux!K:K,MATCH(Dados!B541,Aux!I:I,0)))</f>
        <v>Direita</v>
      </c>
      <c r="G541" s="2">
        <v>14181</v>
      </c>
      <c r="H541" s="2">
        <v>28170</v>
      </c>
    </row>
    <row r="542" spans="1:8" x14ac:dyDescent="0.3">
      <c r="A542" t="s">
        <v>920</v>
      </c>
      <c r="B542" t="s">
        <v>866</v>
      </c>
      <c r="C542" t="s">
        <v>867</v>
      </c>
      <c r="D542" t="s">
        <v>6</v>
      </c>
      <c r="E542" t="s">
        <v>7</v>
      </c>
      <c r="F542" t="str">
        <f>IFERROR(INDEX(Aux!E:E,MATCH(Dados!E542,Aux!D:D,0)),INDEX(Aux!K:K,MATCH(Dados!B542,Aux!I:I,0)))</f>
        <v>Centro esquerda</v>
      </c>
      <c r="G542" s="2">
        <v>14085</v>
      </c>
      <c r="H542" s="2">
        <v>17624</v>
      </c>
    </row>
    <row r="543" spans="1:8" x14ac:dyDescent="0.3">
      <c r="A543" t="s">
        <v>930</v>
      </c>
      <c r="B543" t="s">
        <v>282</v>
      </c>
      <c r="C543" t="s">
        <v>283</v>
      </c>
      <c r="D543" t="s">
        <v>290</v>
      </c>
      <c r="E543" t="s">
        <v>291</v>
      </c>
      <c r="F543" t="str">
        <f>IFERROR(INDEX(Aux!E:E,MATCH(Dados!E543,Aux!D:D,0)),INDEX(Aux!K:K,MATCH(Dados!B543,Aux!I:I,0)))</f>
        <v>Centro</v>
      </c>
      <c r="G543" s="2">
        <v>14021</v>
      </c>
      <c r="H543" s="2">
        <v>0</v>
      </c>
    </row>
    <row r="544" spans="1:8" x14ac:dyDescent="0.3">
      <c r="A544" t="s">
        <v>920</v>
      </c>
      <c r="B544" t="s">
        <v>873</v>
      </c>
      <c r="C544" t="s">
        <v>874</v>
      </c>
      <c r="D544" t="s">
        <v>548</v>
      </c>
      <c r="E544" t="s">
        <v>543</v>
      </c>
      <c r="F544" t="str">
        <f>IFERROR(INDEX(Aux!E:E,MATCH(Dados!E544,Aux!D:D,0)),INDEX(Aux!K:K,MATCH(Dados!B544,Aux!I:I,0)))</f>
        <v>Esquerda</v>
      </c>
      <c r="G544" s="2">
        <v>13976</v>
      </c>
      <c r="H544" s="2">
        <v>1979</v>
      </c>
    </row>
    <row r="545" spans="1:8" x14ac:dyDescent="0.3">
      <c r="A545" t="s">
        <v>916</v>
      </c>
      <c r="B545" t="s">
        <v>664</v>
      </c>
      <c r="C545" t="s">
        <v>665</v>
      </c>
      <c r="D545" t="s">
        <v>688</v>
      </c>
      <c r="E545" t="s">
        <v>689</v>
      </c>
      <c r="F545" t="str">
        <f>IFERROR(INDEX(Aux!E:E,MATCH(Dados!E545,Aux!D:D,0)),INDEX(Aux!K:K,MATCH(Dados!B545,Aux!I:I,0)))</f>
        <v>Centro direita</v>
      </c>
      <c r="G545" s="2">
        <v>13882</v>
      </c>
      <c r="H545" s="2">
        <v>0</v>
      </c>
    </row>
    <row r="546" spans="1:8" x14ac:dyDescent="0.3">
      <c r="A546" t="s">
        <v>937</v>
      </c>
      <c r="B546" t="s">
        <v>799</v>
      </c>
      <c r="C546" t="s">
        <v>800</v>
      </c>
      <c r="D546" t="s">
        <v>550</v>
      </c>
      <c r="E546" t="s">
        <v>551</v>
      </c>
      <c r="F546" t="str">
        <f>IFERROR(INDEX(Aux!E:E,MATCH(Dados!E546,Aux!D:D,0)),INDEX(Aux!K:K,MATCH(Dados!B546,Aux!I:I,0)))</f>
        <v>Esquerda</v>
      </c>
      <c r="G546" s="2">
        <v>13604</v>
      </c>
      <c r="H546" s="2">
        <v>25857</v>
      </c>
    </row>
    <row r="547" spans="1:8" x14ac:dyDescent="0.3">
      <c r="A547" t="s">
        <v>928</v>
      </c>
      <c r="B547" t="s">
        <v>540</v>
      </c>
      <c r="C547" t="s">
        <v>541</v>
      </c>
      <c r="D547" t="s">
        <v>486</v>
      </c>
      <c r="E547" t="s">
        <v>543</v>
      </c>
      <c r="F547" t="str">
        <f>IFERROR(INDEX(Aux!E:E,MATCH(Dados!E547,Aux!D:D,0)),INDEX(Aux!K:K,MATCH(Dados!B547,Aux!I:I,0)))</f>
        <v>Esquerda</v>
      </c>
      <c r="G547" s="2">
        <v>13585</v>
      </c>
      <c r="H547" s="2">
        <v>22060</v>
      </c>
    </row>
    <row r="548" spans="1:8" x14ac:dyDescent="0.3">
      <c r="A548" t="s">
        <v>926</v>
      </c>
      <c r="B548" t="s">
        <v>902</v>
      </c>
      <c r="C548" t="s">
        <v>902</v>
      </c>
      <c r="D548" t="s">
        <v>165</v>
      </c>
      <c r="E548" t="s">
        <v>166</v>
      </c>
      <c r="F548" t="str">
        <f>IFERROR(INDEX(Aux!E:E,MATCH(Dados!E548,Aux!D:D,0)),INDEX(Aux!K:K,MATCH(Dados!B548,Aux!I:I,0)))</f>
        <v>Centro</v>
      </c>
      <c r="G548" s="2">
        <v>13516</v>
      </c>
      <c r="H548" s="2">
        <v>0</v>
      </c>
    </row>
    <row r="549" spans="1:8" x14ac:dyDescent="0.3">
      <c r="A549" t="s">
        <v>926</v>
      </c>
      <c r="B549" t="s">
        <v>135</v>
      </c>
      <c r="C549" t="s">
        <v>136</v>
      </c>
      <c r="D549" t="s">
        <v>165</v>
      </c>
      <c r="E549" t="s">
        <v>166</v>
      </c>
      <c r="F549" t="str">
        <f>IFERROR(INDEX(Aux!E:E,MATCH(Dados!E549,Aux!D:D,0)),INDEX(Aux!K:K,MATCH(Dados!B549,Aux!I:I,0)))</f>
        <v>Centro</v>
      </c>
      <c r="G549" s="2">
        <v>13457</v>
      </c>
      <c r="H549" s="2">
        <v>0</v>
      </c>
    </row>
    <row r="550" spans="1:8" x14ac:dyDescent="0.3">
      <c r="A550" t="s">
        <v>924</v>
      </c>
      <c r="B550" t="s">
        <v>831</v>
      </c>
      <c r="C550" t="s">
        <v>832</v>
      </c>
      <c r="D550" t="s">
        <v>531</v>
      </c>
      <c r="E550" t="s">
        <v>495</v>
      </c>
      <c r="F550" t="str">
        <f>IFERROR(INDEX(Aux!E:E,MATCH(Dados!E550,Aux!D:D,0)),INDEX(Aux!K:K,MATCH(Dados!B550,Aux!I:I,0)))</f>
        <v>Indefinido</v>
      </c>
      <c r="G550" s="2">
        <v>13122</v>
      </c>
      <c r="H550" s="2">
        <v>0</v>
      </c>
    </row>
    <row r="551" spans="1:8" x14ac:dyDescent="0.3">
      <c r="A551" t="s">
        <v>934</v>
      </c>
      <c r="B551" t="s">
        <v>866</v>
      </c>
      <c r="C551" t="s">
        <v>867</v>
      </c>
      <c r="D551" t="s">
        <v>709</v>
      </c>
      <c r="E551" t="s">
        <v>700</v>
      </c>
      <c r="F551" t="str">
        <f>IFERROR(INDEX(Aux!E:E,MATCH(Dados!E551,Aux!D:D,0)),INDEX(Aux!K:K,MATCH(Dados!B551,Aux!I:I,0)))</f>
        <v>Centro</v>
      </c>
      <c r="G551" s="2">
        <v>12891</v>
      </c>
      <c r="H551" s="2">
        <v>0</v>
      </c>
    </row>
    <row r="552" spans="1:8" x14ac:dyDescent="0.3">
      <c r="A552" t="s">
        <v>939</v>
      </c>
      <c r="B552" t="s">
        <v>756</v>
      </c>
      <c r="C552" t="s">
        <v>757</v>
      </c>
      <c r="D552" t="s">
        <v>613</v>
      </c>
      <c r="E552" t="s">
        <v>614</v>
      </c>
      <c r="F552" t="str">
        <f>IFERROR(INDEX(Aux!E:E,MATCH(Dados!E552,Aux!D:D,0)),INDEX(Aux!K:K,MATCH(Dados!B552,Aux!I:I,0)))</f>
        <v>Indefinido</v>
      </c>
      <c r="G552" s="2">
        <v>12856</v>
      </c>
      <c r="H552" s="2">
        <v>0</v>
      </c>
    </row>
    <row r="553" spans="1:8" x14ac:dyDescent="0.3">
      <c r="A553" t="s">
        <v>915</v>
      </c>
      <c r="B553" t="s">
        <v>388</v>
      </c>
      <c r="C553" t="s">
        <v>389</v>
      </c>
      <c r="D553" t="s">
        <v>100</v>
      </c>
      <c r="E553" t="s">
        <v>388</v>
      </c>
      <c r="F553" t="str">
        <f>IFERROR(INDEX(Aux!E:E,MATCH(Dados!E553,Aux!D:D,0)),INDEX(Aux!K:K,MATCH(Dados!B553,Aux!I:I,0)))</f>
        <v>Centro direita</v>
      </c>
      <c r="G553" s="2">
        <v>12822</v>
      </c>
      <c r="H553" s="2">
        <v>22105</v>
      </c>
    </row>
    <row r="554" spans="1:8" x14ac:dyDescent="0.3">
      <c r="A554" t="s">
        <v>935</v>
      </c>
      <c r="B554" t="s">
        <v>206</v>
      </c>
      <c r="C554" t="s">
        <v>207</v>
      </c>
      <c r="D554" t="s">
        <v>261</v>
      </c>
      <c r="E554" t="s">
        <v>262</v>
      </c>
      <c r="F554" t="str">
        <f>IFERROR(INDEX(Aux!E:E,MATCH(Dados!E554,Aux!D:D,0)),INDEX(Aux!K:K,MATCH(Dados!B554,Aux!I:I,0)))</f>
        <v>Centro</v>
      </c>
      <c r="G554" s="2">
        <v>12815</v>
      </c>
      <c r="H554" s="2">
        <v>42702</v>
      </c>
    </row>
    <row r="555" spans="1:8" x14ac:dyDescent="0.3">
      <c r="A555" t="s">
        <v>917</v>
      </c>
      <c r="B555" t="s">
        <v>899</v>
      </c>
      <c r="C555" t="s">
        <v>900</v>
      </c>
      <c r="D555" t="s">
        <v>891</v>
      </c>
      <c r="E555" t="s">
        <v>878</v>
      </c>
      <c r="F555" t="str">
        <f>IFERROR(INDEX(Aux!E:E,MATCH(Dados!E555,Aux!D:D,0)),INDEX(Aux!K:K,MATCH(Dados!B555,Aux!I:I,0)))</f>
        <v>Direita</v>
      </c>
      <c r="G555" s="2">
        <v>12814</v>
      </c>
      <c r="H555" s="2">
        <v>27983</v>
      </c>
    </row>
    <row r="556" spans="1:8" x14ac:dyDescent="0.3">
      <c r="A556" t="s">
        <v>933</v>
      </c>
      <c r="B556" t="s">
        <v>785</v>
      </c>
      <c r="C556" t="s">
        <v>786</v>
      </c>
      <c r="D556" t="s">
        <v>100</v>
      </c>
      <c r="E556" t="s">
        <v>785</v>
      </c>
      <c r="F556" t="str">
        <f>IFERROR(INDEX(Aux!E:E,MATCH(Dados!E556,Aux!D:D,0)),INDEX(Aux!K:K,MATCH(Dados!B556,Aux!I:I,0)))</f>
        <v>Centro direita</v>
      </c>
      <c r="G556" s="2">
        <v>12768</v>
      </c>
      <c r="H556" s="2">
        <v>0</v>
      </c>
    </row>
    <row r="557" spans="1:8" x14ac:dyDescent="0.3">
      <c r="A557" t="s">
        <v>937</v>
      </c>
      <c r="B557" t="s">
        <v>334</v>
      </c>
      <c r="C557" t="s">
        <v>335</v>
      </c>
      <c r="D557" t="s">
        <v>259</v>
      </c>
      <c r="E557" t="s">
        <v>260</v>
      </c>
      <c r="F557" t="str">
        <f>IFERROR(INDEX(Aux!E:E,MATCH(Dados!E557,Aux!D:D,0)),INDEX(Aux!K:K,MATCH(Dados!B557,Aux!I:I,0)))</f>
        <v>Centro</v>
      </c>
      <c r="G557" s="2">
        <v>12636</v>
      </c>
      <c r="H557" s="2">
        <v>0</v>
      </c>
    </row>
    <row r="558" spans="1:8" x14ac:dyDescent="0.3">
      <c r="A558" t="s">
        <v>924</v>
      </c>
      <c r="B558" t="s">
        <v>334</v>
      </c>
      <c r="C558" t="s">
        <v>335</v>
      </c>
      <c r="D558" t="s">
        <v>194</v>
      </c>
      <c r="E558" t="s">
        <v>195</v>
      </c>
      <c r="F558" t="str">
        <f>IFERROR(INDEX(Aux!E:E,MATCH(Dados!E558,Aux!D:D,0)),INDEX(Aux!K:K,MATCH(Dados!B558,Aux!I:I,0)))</f>
        <v>Esquerda</v>
      </c>
      <c r="G558" s="2">
        <v>12613</v>
      </c>
      <c r="H558" s="2">
        <v>0</v>
      </c>
    </row>
    <row r="559" spans="1:8" x14ac:dyDescent="0.3">
      <c r="A559" t="s">
        <v>930</v>
      </c>
      <c r="B559" t="s">
        <v>871</v>
      </c>
      <c r="C559" t="s">
        <v>872</v>
      </c>
      <c r="D559" t="s">
        <v>228</v>
      </c>
      <c r="E559" t="s">
        <v>229</v>
      </c>
      <c r="F559" t="str">
        <f>IFERROR(INDEX(Aux!E:E,MATCH(Dados!E559,Aux!D:D,0)),INDEX(Aux!K:K,MATCH(Dados!B559,Aux!I:I,0)))</f>
        <v>Indefinido</v>
      </c>
      <c r="G559" s="2">
        <v>12489</v>
      </c>
      <c r="H559" s="2">
        <v>0</v>
      </c>
    </row>
    <row r="560" spans="1:8" x14ac:dyDescent="0.3">
      <c r="A560" t="s">
        <v>925</v>
      </c>
      <c r="B560" t="s">
        <v>388</v>
      </c>
      <c r="C560" t="s">
        <v>389</v>
      </c>
      <c r="D560" t="s">
        <v>28</v>
      </c>
      <c r="E560" t="s">
        <v>29</v>
      </c>
      <c r="F560" t="str">
        <f>IFERROR(INDEX(Aux!E:E,MATCH(Dados!E560,Aux!D:D,0)),INDEX(Aux!K:K,MATCH(Dados!B560,Aux!I:I,0)))</f>
        <v>Centro</v>
      </c>
      <c r="G560" s="2">
        <v>12435</v>
      </c>
      <c r="H560" s="2">
        <v>0</v>
      </c>
    </row>
    <row r="561" spans="1:8" x14ac:dyDescent="0.3">
      <c r="A561" t="s">
        <v>940</v>
      </c>
      <c r="B561" t="s">
        <v>282</v>
      </c>
      <c r="C561" t="s">
        <v>283</v>
      </c>
      <c r="D561" t="s">
        <v>306</v>
      </c>
      <c r="E561" t="s">
        <v>307</v>
      </c>
      <c r="F561" t="str">
        <f>IFERROR(INDEX(Aux!E:E,MATCH(Dados!E561,Aux!D:D,0)),INDEX(Aux!K:K,MATCH(Dados!B561,Aux!I:I,0)))</f>
        <v>Direita</v>
      </c>
      <c r="G561" s="2">
        <v>12425</v>
      </c>
      <c r="H561" s="2">
        <v>0</v>
      </c>
    </row>
    <row r="562" spans="1:8" x14ac:dyDescent="0.3">
      <c r="A562" t="s">
        <v>930</v>
      </c>
      <c r="B562" t="s">
        <v>785</v>
      </c>
      <c r="C562" t="s">
        <v>786</v>
      </c>
      <c r="D562" t="s">
        <v>100</v>
      </c>
      <c r="E562" t="s">
        <v>785</v>
      </c>
      <c r="F562" t="str">
        <f>IFERROR(INDEX(Aux!E:E,MATCH(Dados!E562,Aux!D:D,0)),INDEX(Aux!K:K,MATCH(Dados!B562,Aux!I:I,0)))</f>
        <v>Centro direita</v>
      </c>
      <c r="G562" s="2">
        <v>12299</v>
      </c>
      <c r="H562" s="2">
        <v>0</v>
      </c>
    </row>
    <row r="563" spans="1:8" x14ac:dyDescent="0.3">
      <c r="A563" t="s">
        <v>935</v>
      </c>
      <c r="B563" t="s">
        <v>334</v>
      </c>
      <c r="C563" t="s">
        <v>335</v>
      </c>
      <c r="D563" t="s">
        <v>373</v>
      </c>
      <c r="E563" t="s">
        <v>374</v>
      </c>
      <c r="F563" t="str">
        <f>IFERROR(INDEX(Aux!E:E,MATCH(Dados!E563,Aux!D:D,0)),INDEX(Aux!K:K,MATCH(Dados!B563,Aux!I:I,0)))</f>
        <v>Indefinido</v>
      </c>
      <c r="G563" s="2">
        <v>12271</v>
      </c>
      <c r="H563" s="2">
        <v>6084</v>
      </c>
    </row>
    <row r="564" spans="1:8" x14ac:dyDescent="0.3">
      <c r="A564" t="s">
        <v>936</v>
      </c>
      <c r="B564" t="s">
        <v>787</v>
      </c>
      <c r="C564" t="s">
        <v>788</v>
      </c>
      <c r="D564" t="s">
        <v>60</v>
      </c>
      <c r="E564" t="s">
        <v>61</v>
      </c>
      <c r="F564" t="str">
        <f>IFERROR(INDEX(Aux!E:E,MATCH(Dados!E564,Aux!D:D,0)),INDEX(Aux!K:K,MATCH(Dados!B564,Aux!I:I,0)))</f>
        <v>Centro</v>
      </c>
      <c r="G564" s="2">
        <v>12205</v>
      </c>
      <c r="H564" s="2">
        <v>0</v>
      </c>
    </row>
    <row r="565" spans="1:8" x14ac:dyDescent="0.3">
      <c r="A565" t="s">
        <v>926</v>
      </c>
      <c r="B565" t="s">
        <v>866</v>
      </c>
      <c r="C565" t="s">
        <v>867</v>
      </c>
      <c r="D565" t="s">
        <v>424</v>
      </c>
      <c r="E565" t="s">
        <v>425</v>
      </c>
      <c r="F565" t="str">
        <f>IFERROR(INDEX(Aux!E:E,MATCH(Dados!E565,Aux!D:D,0)),INDEX(Aux!K:K,MATCH(Dados!B565,Aux!I:I,0)))</f>
        <v>Centro esquerda</v>
      </c>
      <c r="G565" s="2">
        <v>12180</v>
      </c>
      <c r="H565" s="2">
        <v>0</v>
      </c>
    </row>
    <row r="566" spans="1:8" x14ac:dyDescent="0.3">
      <c r="A566" t="s">
        <v>938</v>
      </c>
      <c r="B566" t="s">
        <v>599</v>
      </c>
      <c r="C566" t="s">
        <v>600</v>
      </c>
      <c r="D566" t="s">
        <v>10</v>
      </c>
      <c r="E566" t="s">
        <v>11</v>
      </c>
      <c r="F566" t="str">
        <f>IFERROR(INDEX(Aux!E:E,MATCH(Dados!E566,Aux!D:D,0)),INDEX(Aux!K:K,MATCH(Dados!B566,Aux!I:I,0)))</f>
        <v>Indefinido</v>
      </c>
      <c r="G566" s="2">
        <v>12049</v>
      </c>
      <c r="H566" s="2">
        <v>0</v>
      </c>
    </row>
    <row r="567" spans="1:8" x14ac:dyDescent="0.3">
      <c r="A567" t="s">
        <v>940</v>
      </c>
      <c r="B567" t="s">
        <v>893</v>
      </c>
      <c r="C567" t="s">
        <v>894</v>
      </c>
      <c r="D567" t="s">
        <v>778</v>
      </c>
      <c r="E567" t="s">
        <v>779</v>
      </c>
      <c r="F567" t="str">
        <f>IFERROR(INDEX(Aux!E:E,MATCH(Dados!E567,Aux!D:D,0)),INDEX(Aux!K:K,MATCH(Dados!B567,Aux!I:I,0)))</f>
        <v>Indefinido</v>
      </c>
      <c r="G567" s="2">
        <v>11980</v>
      </c>
      <c r="H567" s="2">
        <v>0</v>
      </c>
    </row>
    <row r="568" spans="1:8" x14ac:dyDescent="0.3">
      <c r="A568" t="s">
        <v>935</v>
      </c>
      <c r="B568" t="s">
        <v>831</v>
      </c>
      <c r="C568" t="s">
        <v>832</v>
      </c>
      <c r="D568" t="s">
        <v>64</v>
      </c>
      <c r="E568" t="s">
        <v>65</v>
      </c>
      <c r="F568" t="str">
        <f>IFERROR(INDEX(Aux!E:E,MATCH(Dados!E568,Aux!D:D,0)),INDEX(Aux!K:K,MATCH(Dados!B568,Aux!I:I,0)))</f>
        <v>Esquerda</v>
      </c>
      <c r="G568" s="2">
        <v>11526</v>
      </c>
      <c r="H568" s="2">
        <v>0</v>
      </c>
    </row>
    <row r="569" spans="1:8" x14ac:dyDescent="0.3">
      <c r="A569" t="s">
        <v>923</v>
      </c>
      <c r="B569" t="s">
        <v>135</v>
      </c>
      <c r="C569" t="s">
        <v>136</v>
      </c>
      <c r="D569" t="s">
        <v>147</v>
      </c>
      <c r="E569" t="s">
        <v>148</v>
      </c>
      <c r="F569" t="str">
        <f>IFERROR(INDEX(Aux!E:E,MATCH(Dados!E569,Aux!D:D,0)),INDEX(Aux!K:K,MATCH(Dados!B569,Aux!I:I,0)))</f>
        <v>Centro direita</v>
      </c>
      <c r="G569" s="2">
        <v>11477</v>
      </c>
      <c r="H569" s="2">
        <v>0</v>
      </c>
    </row>
    <row r="570" spans="1:8" x14ac:dyDescent="0.3">
      <c r="A570" t="s">
        <v>940</v>
      </c>
      <c r="B570" t="s">
        <v>135</v>
      </c>
      <c r="C570" t="s">
        <v>136</v>
      </c>
      <c r="D570" t="s">
        <v>161</v>
      </c>
      <c r="E570" t="s">
        <v>162</v>
      </c>
      <c r="F570" t="str">
        <f>IFERROR(INDEX(Aux!E:E,MATCH(Dados!E570,Aux!D:D,0)),INDEX(Aux!K:K,MATCH(Dados!B570,Aux!I:I,0)))</f>
        <v>Esquerda</v>
      </c>
      <c r="G570" s="2">
        <v>11358</v>
      </c>
      <c r="H570" s="2">
        <v>0</v>
      </c>
    </row>
    <row r="571" spans="1:8" x14ac:dyDescent="0.3">
      <c r="A571" t="s">
        <v>933</v>
      </c>
      <c r="B571" t="s">
        <v>770</v>
      </c>
      <c r="C571" t="s">
        <v>771</v>
      </c>
      <c r="D571" t="s">
        <v>214</v>
      </c>
      <c r="E571" t="s">
        <v>215</v>
      </c>
      <c r="F571" t="str">
        <f>IFERROR(INDEX(Aux!E:E,MATCH(Dados!E571,Aux!D:D,0)),INDEX(Aux!K:K,MATCH(Dados!B571,Aux!I:I,0)))</f>
        <v>Centro</v>
      </c>
      <c r="G571" s="2">
        <v>11134</v>
      </c>
      <c r="H571" s="2">
        <v>0</v>
      </c>
    </row>
    <row r="572" spans="1:8" x14ac:dyDescent="0.3">
      <c r="A572" t="s">
        <v>939</v>
      </c>
      <c r="B572" t="s">
        <v>540</v>
      </c>
      <c r="C572" t="s">
        <v>541</v>
      </c>
      <c r="D572" t="s">
        <v>359</v>
      </c>
      <c r="E572" t="s">
        <v>360</v>
      </c>
      <c r="F572" t="str">
        <f>IFERROR(INDEX(Aux!E:E,MATCH(Dados!E572,Aux!D:D,0)),INDEX(Aux!K:K,MATCH(Dados!B572,Aux!I:I,0)))</f>
        <v>Centro esquerda</v>
      </c>
      <c r="G572" s="2">
        <v>11010</v>
      </c>
      <c r="H572" s="2">
        <v>9838</v>
      </c>
    </row>
    <row r="573" spans="1:8" x14ac:dyDescent="0.3">
      <c r="A573" t="s">
        <v>928</v>
      </c>
      <c r="B573" t="s">
        <v>206</v>
      </c>
      <c r="C573" t="s">
        <v>207</v>
      </c>
      <c r="D573" t="s">
        <v>172</v>
      </c>
      <c r="E573" t="s">
        <v>173</v>
      </c>
      <c r="F573" t="str">
        <f>IFERROR(INDEX(Aux!E:E,MATCH(Dados!E573,Aux!D:D,0)),INDEX(Aux!K:K,MATCH(Dados!B573,Aux!I:I,0)))</f>
        <v>Centro</v>
      </c>
      <c r="G573" s="2">
        <v>10958</v>
      </c>
      <c r="H573" s="2">
        <v>0</v>
      </c>
    </row>
    <row r="574" spans="1:8" x14ac:dyDescent="0.3">
      <c r="A574" t="s">
        <v>931</v>
      </c>
      <c r="B574" t="s">
        <v>540</v>
      </c>
      <c r="C574" t="s">
        <v>541</v>
      </c>
      <c r="D574" t="s">
        <v>100</v>
      </c>
      <c r="E574" t="s">
        <v>540</v>
      </c>
      <c r="F574" t="str">
        <f>IFERROR(INDEX(Aux!E:E,MATCH(Dados!E574,Aux!D:D,0)),INDEX(Aux!K:K,MATCH(Dados!B574,Aux!I:I,0)))</f>
        <v>Esquerda</v>
      </c>
      <c r="G574" s="2">
        <v>10899</v>
      </c>
      <c r="H574" s="2">
        <v>11283</v>
      </c>
    </row>
    <row r="575" spans="1:8" x14ac:dyDescent="0.3">
      <c r="A575" t="s">
        <v>932</v>
      </c>
      <c r="B575" t="s">
        <v>787</v>
      </c>
      <c r="C575" t="s">
        <v>788</v>
      </c>
      <c r="D575" t="s">
        <v>436</v>
      </c>
      <c r="E575" t="s">
        <v>437</v>
      </c>
      <c r="F575" t="str">
        <f>IFERROR(INDEX(Aux!E:E,MATCH(Dados!E575,Aux!D:D,0)),INDEX(Aux!K:K,MATCH(Dados!B575,Aux!I:I,0)))</f>
        <v>Centro direita</v>
      </c>
      <c r="G575" s="2">
        <v>10811</v>
      </c>
      <c r="H575" s="2">
        <v>0</v>
      </c>
    </row>
    <row r="576" spans="1:8" x14ac:dyDescent="0.3">
      <c r="A576" t="s">
        <v>929</v>
      </c>
      <c r="B576" t="s">
        <v>440</v>
      </c>
      <c r="C576" t="s">
        <v>441</v>
      </c>
      <c r="D576" t="s">
        <v>426</v>
      </c>
      <c r="E576" t="s">
        <v>427</v>
      </c>
      <c r="F576" t="str">
        <f>IFERROR(INDEX(Aux!E:E,MATCH(Dados!E576,Aux!D:D,0)),INDEX(Aux!K:K,MATCH(Dados!B576,Aux!I:I,0)))</f>
        <v>Centro</v>
      </c>
      <c r="G576" s="2">
        <v>10799</v>
      </c>
      <c r="H576" s="2">
        <v>0</v>
      </c>
    </row>
    <row r="577" spans="1:8" x14ac:dyDescent="0.3">
      <c r="A577" t="s">
        <v>938</v>
      </c>
      <c r="B577" t="s">
        <v>488</v>
      </c>
      <c r="C577" t="s">
        <v>489</v>
      </c>
      <c r="D577" t="s">
        <v>500</v>
      </c>
      <c r="E577" t="s">
        <v>501</v>
      </c>
      <c r="F577" t="str">
        <f>IFERROR(INDEX(Aux!E:E,MATCH(Dados!E577,Aux!D:D,0)),INDEX(Aux!K:K,MATCH(Dados!B577,Aux!I:I,0)))</f>
        <v>Direita</v>
      </c>
      <c r="G577" s="2">
        <v>10769</v>
      </c>
      <c r="H577" s="2">
        <v>0</v>
      </c>
    </row>
    <row r="578" spans="1:8" x14ac:dyDescent="0.3">
      <c r="A578" t="s">
        <v>923</v>
      </c>
      <c r="B578" t="s">
        <v>334</v>
      </c>
      <c r="C578" t="s">
        <v>335</v>
      </c>
      <c r="D578" t="s">
        <v>147</v>
      </c>
      <c r="E578" t="s">
        <v>148</v>
      </c>
      <c r="F578" t="str">
        <f>IFERROR(INDEX(Aux!E:E,MATCH(Dados!E578,Aux!D:D,0)),INDEX(Aux!K:K,MATCH(Dados!B578,Aux!I:I,0)))</f>
        <v>Centro direita</v>
      </c>
      <c r="G578" s="2">
        <v>10709</v>
      </c>
      <c r="H578" s="2">
        <v>0</v>
      </c>
    </row>
    <row r="579" spans="1:8" x14ac:dyDescent="0.3">
      <c r="A579" t="s">
        <v>927</v>
      </c>
      <c r="B579" t="s">
        <v>4</v>
      </c>
      <c r="C579" t="s">
        <v>5</v>
      </c>
      <c r="D579" t="s">
        <v>36</v>
      </c>
      <c r="E579" t="s">
        <v>37</v>
      </c>
      <c r="F579" t="str">
        <f>IFERROR(INDEX(Aux!E:E,MATCH(Dados!E579,Aux!D:D,0)),INDEX(Aux!K:K,MATCH(Dados!B579,Aux!I:I,0)))</f>
        <v>Centro</v>
      </c>
      <c r="G579" s="2">
        <v>10596</v>
      </c>
      <c r="H579" s="2">
        <v>0</v>
      </c>
    </row>
    <row r="580" spans="1:8" x14ac:dyDescent="0.3">
      <c r="A580" t="s">
        <v>939</v>
      </c>
      <c r="B580" t="s">
        <v>599</v>
      </c>
      <c r="C580" t="s">
        <v>600</v>
      </c>
      <c r="D580" t="s">
        <v>613</v>
      </c>
      <c r="E580" t="s">
        <v>614</v>
      </c>
      <c r="F580" t="str">
        <f>IFERROR(INDEX(Aux!E:E,MATCH(Dados!E580,Aux!D:D,0)),INDEX(Aux!K:K,MATCH(Dados!B580,Aux!I:I,0)))</f>
        <v>Indefinido</v>
      </c>
      <c r="G580" s="2">
        <v>10580</v>
      </c>
      <c r="H580" s="2">
        <v>0</v>
      </c>
    </row>
    <row r="581" spans="1:8" x14ac:dyDescent="0.3">
      <c r="A581" t="s">
        <v>931</v>
      </c>
      <c r="B581" t="s">
        <v>664</v>
      </c>
      <c r="C581" t="s">
        <v>665</v>
      </c>
      <c r="D581" t="s">
        <v>666</v>
      </c>
      <c r="E581" t="s">
        <v>667</v>
      </c>
      <c r="F581" t="str">
        <f>IFERROR(INDEX(Aux!E:E,MATCH(Dados!E581,Aux!D:D,0)),INDEX(Aux!K:K,MATCH(Dados!B581,Aux!I:I,0)))</f>
        <v>Centro</v>
      </c>
      <c r="G581" s="2">
        <v>10511</v>
      </c>
      <c r="H581" s="2">
        <v>0</v>
      </c>
    </row>
    <row r="582" spans="1:8" x14ac:dyDescent="0.3">
      <c r="A582" t="s">
        <v>927</v>
      </c>
      <c r="B582" t="s">
        <v>334</v>
      </c>
      <c r="C582" t="s">
        <v>335</v>
      </c>
      <c r="D582" t="s">
        <v>151</v>
      </c>
      <c r="E582" t="s">
        <v>152</v>
      </c>
      <c r="F582" t="str">
        <f>IFERROR(INDEX(Aux!E:E,MATCH(Dados!E582,Aux!D:D,0)),INDEX(Aux!K:K,MATCH(Dados!B582,Aux!I:I,0)))</f>
        <v>Esquerda</v>
      </c>
      <c r="G582" s="2">
        <v>10508</v>
      </c>
      <c r="H582" s="2">
        <v>10774</v>
      </c>
    </row>
    <row r="583" spans="1:8" x14ac:dyDescent="0.3">
      <c r="A583" t="s">
        <v>925</v>
      </c>
      <c r="B583" t="s">
        <v>135</v>
      </c>
      <c r="C583" t="s">
        <v>136</v>
      </c>
      <c r="D583" t="s">
        <v>139</v>
      </c>
      <c r="E583" t="s">
        <v>140</v>
      </c>
      <c r="F583" t="str">
        <f>IFERROR(INDEX(Aux!E:E,MATCH(Dados!E583,Aux!D:D,0)),INDEX(Aux!K:K,MATCH(Dados!B583,Aux!I:I,0)))</f>
        <v>Direita</v>
      </c>
      <c r="G583" s="2">
        <v>10437</v>
      </c>
      <c r="H583" s="2">
        <v>0</v>
      </c>
    </row>
    <row r="584" spans="1:8" x14ac:dyDescent="0.3">
      <c r="A584" t="s">
        <v>934</v>
      </c>
      <c r="B584" t="s">
        <v>783</v>
      </c>
      <c r="C584" t="s">
        <v>784</v>
      </c>
      <c r="D584" t="s">
        <v>100</v>
      </c>
      <c r="E584" t="s">
        <v>783</v>
      </c>
      <c r="F584" t="str">
        <f>IFERROR(INDEX(Aux!E:E,MATCH(Dados!E584,Aux!D:D,0)),INDEX(Aux!K:K,MATCH(Dados!B584,Aux!I:I,0)))</f>
        <v>Esquerda</v>
      </c>
      <c r="G584" s="2">
        <v>10329</v>
      </c>
      <c r="H584" s="2">
        <v>0</v>
      </c>
    </row>
    <row r="585" spans="1:8" x14ac:dyDescent="0.3">
      <c r="A585" t="s">
        <v>927</v>
      </c>
      <c r="B585" t="s">
        <v>135</v>
      </c>
      <c r="C585" t="s">
        <v>136</v>
      </c>
      <c r="D585" t="s">
        <v>151</v>
      </c>
      <c r="E585" t="s">
        <v>152</v>
      </c>
      <c r="F585" t="str">
        <f>IFERROR(INDEX(Aux!E:E,MATCH(Dados!E585,Aux!D:D,0)),INDEX(Aux!K:K,MATCH(Dados!B585,Aux!I:I,0)))</f>
        <v>Esquerda</v>
      </c>
      <c r="G585" s="2">
        <v>10195</v>
      </c>
      <c r="H585" s="2">
        <v>1343</v>
      </c>
    </row>
    <row r="586" spans="1:8" x14ac:dyDescent="0.3">
      <c r="A586" t="s">
        <v>935</v>
      </c>
      <c r="B586" t="s">
        <v>871</v>
      </c>
      <c r="C586" t="s">
        <v>872</v>
      </c>
      <c r="D586" t="s">
        <v>631</v>
      </c>
      <c r="E586" t="s">
        <v>632</v>
      </c>
      <c r="F586" t="str">
        <f>IFERROR(INDEX(Aux!E:E,MATCH(Dados!E586,Aux!D:D,0)),INDEX(Aux!K:K,MATCH(Dados!B586,Aux!I:I,0)))</f>
        <v>Direita</v>
      </c>
      <c r="G586" s="2">
        <v>10002</v>
      </c>
      <c r="H586" s="2">
        <v>27115</v>
      </c>
    </row>
    <row r="587" spans="1:8" x14ac:dyDescent="0.3">
      <c r="A587" t="s">
        <v>931</v>
      </c>
      <c r="B587" t="s">
        <v>282</v>
      </c>
      <c r="C587" t="s">
        <v>283</v>
      </c>
      <c r="D587" t="s">
        <v>100</v>
      </c>
      <c r="E587" t="s">
        <v>282</v>
      </c>
      <c r="F587" t="str">
        <f>IFERROR(INDEX(Aux!E:E,MATCH(Dados!E587,Aux!D:D,0)),INDEX(Aux!K:K,MATCH(Dados!B587,Aux!I:I,0)))</f>
        <v>Direita</v>
      </c>
      <c r="G587" s="2">
        <v>9951</v>
      </c>
      <c r="H587" s="2">
        <v>20652</v>
      </c>
    </row>
    <row r="588" spans="1:8" x14ac:dyDescent="0.3">
      <c r="A588" t="s">
        <v>931</v>
      </c>
      <c r="B588" t="s">
        <v>388</v>
      </c>
      <c r="C588" t="s">
        <v>389</v>
      </c>
      <c r="D588" t="s">
        <v>400</v>
      </c>
      <c r="E588" t="s">
        <v>401</v>
      </c>
      <c r="F588" t="str">
        <f>IFERROR(INDEX(Aux!E:E,MATCH(Dados!E588,Aux!D:D,0)),INDEX(Aux!K:K,MATCH(Dados!B588,Aux!I:I,0)))</f>
        <v>Indefinido</v>
      </c>
      <c r="G588" s="2">
        <v>9945</v>
      </c>
      <c r="H588" s="2">
        <v>0</v>
      </c>
    </row>
    <row r="589" spans="1:8" x14ac:dyDescent="0.3">
      <c r="A589" t="s">
        <v>939</v>
      </c>
      <c r="B589" t="s">
        <v>388</v>
      </c>
      <c r="C589" t="s">
        <v>389</v>
      </c>
      <c r="D589" t="s">
        <v>416</v>
      </c>
      <c r="E589" t="s">
        <v>417</v>
      </c>
      <c r="F589" t="str">
        <f>IFERROR(INDEX(Aux!E:E,MATCH(Dados!E589,Aux!D:D,0)),INDEX(Aux!K:K,MATCH(Dados!B589,Aux!I:I,0)))</f>
        <v>Direita</v>
      </c>
      <c r="G589" s="2">
        <v>9836</v>
      </c>
      <c r="H589" s="2">
        <v>0</v>
      </c>
    </row>
    <row r="590" spans="1:8" x14ac:dyDescent="0.3">
      <c r="A590" t="s">
        <v>924</v>
      </c>
      <c r="B590" t="s">
        <v>871</v>
      </c>
      <c r="C590" t="s">
        <v>872</v>
      </c>
      <c r="D590" t="s">
        <v>450</v>
      </c>
      <c r="E590" t="s">
        <v>451</v>
      </c>
      <c r="F590" t="str">
        <f>IFERROR(INDEX(Aux!E:E,MATCH(Dados!E590,Aux!D:D,0)),INDEX(Aux!K:K,MATCH(Dados!B590,Aux!I:I,0)))</f>
        <v>Centro</v>
      </c>
      <c r="G590" s="2">
        <v>9689</v>
      </c>
      <c r="H590" s="2">
        <v>0</v>
      </c>
    </row>
    <row r="591" spans="1:8" x14ac:dyDescent="0.3">
      <c r="A591" t="s">
        <v>917</v>
      </c>
      <c r="B591" t="s">
        <v>866</v>
      </c>
      <c r="C591" t="s">
        <v>867</v>
      </c>
      <c r="D591" t="s">
        <v>438</v>
      </c>
      <c r="E591" t="s">
        <v>439</v>
      </c>
      <c r="F591" t="str">
        <f>IFERROR(INDEX(Aux!E:E,MATCH(Dados!E591,Aux!D:D,0)),INDEX(Aux!K:K,MATCH(Dados!B591,Aux!I:I,0)))</f>
        <v>Centro</v>
      </c>
      <c r="G591" s="2">
        <v>9673</v>
      </c>
      <c r="H591" s="2">
        <v>0</v>
      </c>
    </row>
    <row r="592" spans="1:8" x14ac:dyDescent="0.3">
      <c r="A592" t="s">
        <v>926</v>
      </c>
      <c r="B592" t="s">
        <v>282</v>
      </c>
      <c r="C592" t="s">
        <v>283</v>
      </c>
      <c r="D592" t="s">
        <v>165</v>
      </c>
      <c r="E592" t="s">
        <v>166</v>
      </c>
      <c r="F592" t="str">
        <f>IFERROR(INDEX(Aux!E:E,MATCH(Dados!E592,Aux!D:D,0)),INDEX(Aux!K:K,MATCH(Dados!B592,Aux!I:I,0)))</f>
        <v>Centro</v>
      </c>
      <c r="G592" s="2">
        <v>9640</v>
      </c>
      <c r="H592" s="2">
        <v>0</v>
      </c>
    </row>
    <row r="593" spans="1:8" x14ac:dyDescent="0.3">
      <c r="A593" t="s">
        <v>921</v>
      </c>
      <c r="B593" t="s">
        <v>440</v>
      </c>
      <c r="C593" t="s">
        <v>441</v>
      </c>
      <c r="D593" t="s">
        <v>442</v>
      </c>
      <c r="E593" t="s">
        <v>443</v>
      </c>
      <c r="F593" t="str">
        <f>IFERROR(INDEX(Aux!E:E,MATCH(Dados!E593,Aux!D:D,0)),INDEX(Aux!K:K,MATCH(Dados!B593,Aux!I:I,0)))</f>
        <v>Direita</v>
      </c>
      <c r="G593" s="2">
        <v>9495</v>
      </c>
      <c r="H593" s="2">
        <v>0</v>
      </c>
    </row>
    <row r="594" spans="1:8" x14ac:dyDescent="0.3">
      <c r="A594" t="s">
        <v>925</v>
      </c>
      <c r="B594" t="s">
        <v>540</v>
      </c>
      <c r="C594" t="s">
        <v>541</v>
      </c>
      <c r="D594" t="s">
        <v>557</v>
      </c>
      <c r="E594" t="s">
        <v>543</v>
      </c>
      <c r="F594" t="str">
        <f>IFERROR(INDEX(Aux!E:E,MATCH(Dados!E594,Aux!D:D,0)),INDEX(Aux!K:K,MATCH(Dados!B594,Aux!I:I,0)))</f>
        <v>Esquerda</v>
      </c>
      <c r="G594" s="2">
        <v>9447</v>
      </c>
      <c r="H594" s="2">
        <v>8409</v>
      </c>
    </row>
    <row r="595" spans="1:8" x14ac:dyDescent="0.3">
      <c r="A595" t="s">
        <v>924</v>
      </c>
      <c r="B595" t="s">
        <v>206</v>
      </c>
      <c r="C595" t="s">
        <v>207</v>
      </c>
      <c r="D595" t="s">
        <v>247</v>
      </c>
      <c r="E595" t="s">
        <v>248</v>
      </c>
      <c r="F595" t="str">
        <f>IFERROR(INDEX(Aux!E:E,MATCH(Dados!E595,Aux!D:D,0)),INDEX(Aux!K:K,MATCH(Dados!B595,Aux!I:I,0)))</f>
        <v>Centro</v>
      </c>
      <c r="G595" s="2">
        <v>9388</v>
      </c>
      <c r="H595" s="2">
        <v>0</v>
      </c>
    </row>
    <row r="596" spans="1:8" x14ac:dyDescent="0.3">
      <c r="A596" t="s">
        <v>939</v>
      </c>
      <c r="B596" t="s">
        <v>875</v>
      </c>
      <c r="C596" t="s">
        <v>876</v>
      </c>
      <c r="D596" t="s">
        <v>703</v>
      </c>
      <c r="E596" t="s">
        <v>704</v>
      </c>
      <c r="F596" t="str">
        <f>IFERROR(INDEX(Aux!E:E,MATCH(Dados!E596,Aux!D:D,0)),INDEX(Aux!K:K,MATCH(Dados!B596,Aux!I:I,0)))</f>
        <v>Centro</v>
      </c>
      <c r="G596" s="2">
        <v>9351</v>
      </c>
      <c r="H596" s="2">
        <v>0</v>
      </c>
    </row>
    <row r="597" spans="1:8" x14ac:dyDescent="0.3">
      <c r="A597" t="s">
        <v>940</v>
      </c>
      <c r="B597" t="s">
        <v>787</v>
      </c>
      <c r="C597" t="s">
        <v>788</v>
      </c>
      <c r="D597" t="s">
        <v>239</v>
      </c>
      <c r="E597" t="s">
        <v>240</v>
      </c>
      <c r="F597" t="str">
        <f>IFERROR(INDEX(Aux!E:E,MATCH(Dados!E597,Aux!D:D,0)),INDEX(Aux!K:K,MATCH(Dados!B597,Aux!I:I,0)))</f>
        <v>Centro direita</v>
      </c>
      <c r="G597" s="2">
        <v>9237</v>
      </c>
      <c r="H597" s="2">
        <v>0</v>
      </c>
    </row>
    <row r="598" spans="1:8" x14ac:dyDescent="0.3">
      <c r="A598" t="s">
        <v>939</v>
      </c>
      <c r="B598" t="s">
        <v>641</v>
      </c>
      <c r="C598" t="s">
        <v>642</v>
      </c>
      <c r="D598" t="s">
        <v>613</v>
      </c>
      <c r="E598" t="s">
        <v>614</v>
      </c>
      <c r="F598" t="str">
        <f>IFERROR(INDEX(Aux!E:E,MATCH(Dados!E598,Aux!D:D,0)),INDEX(Aux!K:K,MATCH(Dados!B598,Aux!I:I,0)))</f>
        <v>Indefinido</v>
      </c>
      <c r="G598" s="2">
        <v>9178</v>
      </c>
      <c r="H598" s="2">
        <v>0</v>
      </c>
    </row>
    <row r="599" spans="1:8" x14ac:dyDescent="0.3">
      <c r="A599" t="s">
        <v>939</v>
      </c>
      <c r="B599" t="s">
        <v>664</v>
      </c>
      <c r="C599" t="s">
        <v>665</v>
      </c>
      <c r="D599" t="s">
        <v>416</v>
      </c>
      <c r="E599" t="s">
        <v>417</v>
      </c>
      <c r="F599" t="str">
        <f>IFERROR(INDEX(Aux!E:E,MATCH(Dados!E599,Aux!D:D,0)),INDEX(Aux!K:K,MATCH(Dados!B599,Aux!I:I,0)))</f>
        <v>Direita</v>
      </c>
      <c r="G599" s="2">
        <v>9096</v>
      </c>
      <c r="H599" s="2">
        <v>0</v>
      </c>
    </row>
    <row r="600" spans="1:8" x14ac:dyDescent="0.3">
      <c r="A600" t="s">
        <v>934</v>
      </c>
      <c r="B600" t="s">
        <v>641</v>
      </c>
      <c r="C600" t="s">
        <v>642</v>
      </c>
      <c r="D600" t="s">
        <v>16</v>
      </c>
      <c r="E600" t="s">
        <v>17</v>
      </c>
      <c r="F600" t="str">
        <f>IFERROR(INDEX(Aux!E:E,MATCH(Dados!E600,Aux!D:D,0)),INDEX(Aux!K:K,MATCH(Dados!B600,Aux!I:I,0)))</f>
        <v>Centro direita</v>
      </c>
      <c r="G600" s="2">
        <v>9067</v>
      </c>
      <c r="H600" s="2">
        <v>0</v>
      </c>
    </row>
    <row r="601" spans="1:8" x14ac:dyDescent="0.3">
      <c r="A601" t="s">
        <v>934</v>
      </c>
      <c r="B601" t="s">
        <v>864</v>
      </c>
      <c r="C601" t="s">
        <v>865</v>
      </c>
      <c r="D601" t="s">
        <v>709</v>
      </c>
      <c r="E601" t="s">
        <v>700</v>
      </c>
      <c r="F601" t="str">
        <f>IFERROR(INDEX(Aux!E:E,MATCH(Dados!E601,Aux!D:D,0)),INDEX(Aux!K:K,MATCH(Dados!B601,Aux!I:I,0)))</f>
        <v>Centro</v>
      </c>
      <c r="G601" s="2">
        <v>8851</v>
      </c>
      <c r="H601" s="2">
        <v>0</v>
      </c>
    </row>
    <row r="602" spans="1:8" x14ac:dyDescent="0.3">
      <c r="A602" t="s">
        <v>919</v>
      </c>
      <c r="B602" t="s">
        <v>388</v>
      </c>
      <c r="C602" t="s">
        <v>389</v>
      </c>
      <c r="D602" t="s">
        <v>327</v>
      </c>
      <c r="E602" t="s">
        <v>323</v>
      </c>
      <c r="F602" t="str">
        <f>IFERROR(INDEX(Aux!E:E,MATCH(Dados!E602,Aux!D:D,0)),INDEX(Aux!K:K,MATCH(Dados!B602,Aux!I:I,0)))</f>
        <v>Direita</v>
      </c>
      <c r="G602" s="2">
        <v>8823</v>
      </c>
      <c r="H602" s="2">
        <v>0</v>
      </c>
    </row>
    <row r="603" spans="1:8" x14ac:dyDescent="0.3">
      <c r="A603" t="s">
        <v>926</v>
      </c>
      <c r="B603" t="s">
        <v>334</v>
      </c>
      <c r="C603" t="s">
        <v>335</v>
      </c>
      <c r="D603" t="s">
        <v>165</v>
      </c>
      <c r="E603" t="s">
        <v>166</v>
      </c>
      <c r="F603" t="str">
        <f>IFERROR(INDEX(Aux!E:E,MATCH(Dados!E603,Aux!D:D,0)),INDEX(Aux!K:K,MATCH(Dados!B603,Aux!I:I,0)))</f>
        <v>Centro</v>
      </c>
      <c r="G603" s="2">
        <v>8784</v>
      </c>
      <c r="H603" s="2">
        <v>0</v>
      </c>
    </row>
    <row r="604" spans="1:8" x14ac:dyDescent="0.3">
      <c r="A604" t="s">
        <v>927</v>
      </c>
      <c r="B604" t="s">
        <v>206</v>
      </c>
      <c r="C604" t="s">
        <v>207</v>
      </c>
      <c r="D604" t="s">
        <v>233</v>
      </c>
      <c r="E604" t="s">
        <v>234</v>
      </c>
      <c r="F604" t="str">
        <f>IFERROR(INDEX(Aux!E:E,MATCH(Dados!E604,Aux!D:D,0)),INDEX(Aux!K:K,MATCH(Dados!B604,Aux!I:I,0)))</f>
        <v>Centro esquerda</v>
      </c>
      <c r="G604" s="2">
        <v>8680</v>
      </c>
      <c r="H604" s="2">
        <v>0</v>
      </c>
    </row>
    <row r="605" spans="1:8" x14ac:dyDescent="0.3">
      <c r="A605" t="s">
        <v>920</v>
      </c>
      <c r="B605" t="s">
        <v>783</v>
      </c>
      <c r="C605" t="s">
        <v>784</v>
      </c>
      <c r="D605" t="s">
        <v>390</v>
      </c>
      <c r="E605" t="s">
        <v>391</v>
      </c>
      <c r="F605" t="str">
        <f>IFERROR(INDEX(Aux!E:E,MATCH(Dados!E605,Aux!D:D,0)),INDEX(Aux!K:K,MATCH(Dados!B605,Aux!I:I,0)))</f>
        <v>Esquerda</v>
      </c>
      <c r="G605" s="2">
        <v>8656</v>
      </c>
      <c r="H605" s="2">
        <v>2515</v>
      </c>
    </row>
    <row r="606" spans="1:8" x14ac:dyDescent="0.3">
      <c r="A606" t="s">
        <v>925</v>
      </c>
      <c r="B606" t="s">
        <v>864</v>
      </c>
      <c r="C606" t="s">
        <v>865</v>
      </c>
      <c r="D606" t="s">
        <v>342</v>
      </c>
      <c r="E606" t="s">
        <v>341</v>
      </c>
      <c r="F606" t="str">
        <f>IFERROR(INDEX(Aux!E:E,MATCH(Dados!E606,Aux!D:D,0)),INDEX(Aux!K:K,MATCH(Dados!B606,Aux!I:I,0)))</f>
        <v>Centro</v>
      </c>
      <c r="G606" s="2">
        <v>8604</v>
      </c>
      <c r="H606" s="2">
        <v>0</v>
      </c>
    </row>
    <row r="607" spans="1:8" x14ac:dyDescent="0.3">
      <c r="A607" t="s">
        <v>939</v>
      </c>
      <c r="B607" t="s">
        <v>787</v>
      </c>
      <c r="C607" t="s">
        <v>788</v>
      </c>
      <c r="D607" t="s">
        <v>568</v>
      </c>
      <c r="E607" t="s">
        <v>569</v>
      </c>
      <c r="F607" t="str">
        <f>IFERROR(INDEX(Aux!E:E,MATCH(Dados!E607,Aux!D:D,0)),INDEX(Aux!K:K,MATCH(Dados!B607,Aux!I:I,0)))</f>
        <v>Centro direita</v>
      </c>
      <c r="G607" s="2">
        <v>8579</v>
      </c>
      <c r="H607" s="2">
        <v>0</v>
      </c>
    </row>
    <row r="608" spans="1:8" x14ac:dyDescent="0.3">
      <c r="A608" t="s">
        <v>930</v>
      </c>
      <c r="B608" t="s">
        <v>737</v>
      </c>
      <c r="C608" t="s">
        <v>738</v>
      </c>
      <c r="D608" t="s">
        <v>562</v>
      </c>
      <c r="E608" t="s">
        <v>563</v>
      </c>
      <c r="F608" t="str">
        <f>IFERROR(INDEX(Aux!E:E,MATCH(Dados!E608,Aux!D:D,0)),INDEX(Aux!K:K,MATCH(Dados!B608,Aux!I:I,0)))</f>
        <v>Direita</v>
      </c>
      <c r="G608" s="2">
        <v>8558</v>
      </c>
      <c r="H608" s="2">
        <v>0</v>
      </c>
    </row>
    <row r="609" spans="1:8" x14ac:dyDescent="0.3">
      <c r="A609" t="s">
        <v>930</v>
      </c>
      <c r="B609" t="s">
        <v>783</v>
      </c>
      <c r="C609" t="s">
        <v>784</v>
      </c>
      <c r="D609" t="s">
        <v>392</v>
      </c>
      <c r="E609" t="s">
        <v>393</v>
      </c>
      <c r="F609" t="str">
        <f>IFERROR(INDEX(Aux!E:E,MATCH(Dados!E609,Aux!D:D,0)),INDEX(Aux!K:K,MATCH(Dados!B609,Aux!I:I,0)))</f>
        <v>Centro direita</v>
      </c>
      <c r="G609" s="2">
        <v>8527</v>
      </c>
      <c r="H609" s="2">
        <v>0</v>
      </c>
    </row>
    <row r="610" spans="1:8" x14ac:dyDescent="0.3">
      <c r="A610" t="s">
        <v>936</v>
      </c>
      <c r="B610" t="s">
        <v>716</v>
      </c>
      <c r="C610" t="s">
        <v>717</v>
      </c>
      <c r="D610" t="s">
        <v>60</v>
      </c>
      <c r="E610" t="s">
        <v>61</v>
      </c>
      <c r="F610" t="str">
        <f>IFERROR(INDEX(Aux!E:E,MATCH(Dados!E610,Aux!D:D,0)),INDEX(Aux!K:K,MATCH(Dados!B610,Aux!I:I,0)))</f>
        <v>Centro</v>
      </c>
      <c r="G610" s="2">
        <v>8453</v>
      </c>
      <c r="H610" s="2">
        <v>0</v>
      </c>
    </row>
    <row r="611" spans="1:8" x14ac:dyDescent="0.3">
      <c r="A611" t="s">
        <v>916</v>
      </c>
      <c r="B611" t="s">
        <v>873</v>
      </c>
      <c r="C611" t="s">
        <v>874</v>
      </c>
      <c r="D611" t="s">
        <v>554</v>
      </c>
      <c r="E611" t="s">
        <v>543</v>
      </c>
      <c r="F611" t="str">
        <f>IFERROR(INDEX(Aux!E:E,MATCH(Dados!E611,Aux!D:D,0)),INDEX(Aux!K:K,MATCH(Dados!B611,Aux!I:I,0)))</f>
        <v>Esquerda</v>
      </c>
      <c r="G611" s="2">
        <v>8446</v>
      </c>
      <c r="H611" s="2">
        <v>14616</v>
      </c>
    </row>
    <row r="612" spans="1:8" x14ac:dyDescent="0.3">
      <c r="A612" t="s">
        <v>932</v>
      </c>
      <c r="B612" t="s">
        <v>540</v>
      </c>
      <c r="C612" t="s">
        <v>541</v>
      </c>
      <c r="D612" t="s">
        <v>100</v>
      </c>
      <c r="E612" t="s">
        <v>540</v>
      </c>
      <c r="F612" t="str">
        <f>IFERROR(INDEX(Aux!E:E,MATCH(Dados!E612,Aux!D:D,0)),INDEX(Aux!K:K,MATCH(Dados!B612,Aux!I:I,0)))</f>
        <v>Esquerda</v>
      </c>
      <c r="G612" s="2">
        <v>8425</v>
      </c>
      <c r="H612" s="2">
        <v>592</v>
      </c>
    </row>
    <row r="613" spans="1:8" x14ac:dyDescent="0.3">
      <c r="A613" t="s">
        <v>935</v>
      </c>
      <c r="B613" t="s">
        <v>440</v>
      </c>
      <c r="C613" t="s">
        <v>441</v>
      </c>
      <c r="D613" t="s">
        <v>470</v>
      </c>
      <c r="E613" t="s">
        <v>471</v>
      </c>
      <c r="F613" t="str">
        <f>IFERROR(INDEX(Aux!E:E,MATCH(Dados!E613,Aux!D:D,0)),INDEX(Aux!K:K,MATCH(Dados!B613,Aux!I:I,0)))</f>
        <v>Centro esquerda</v>
      </c>
      <c r="G613" s="2">
        <v>8340</v>
      </c>
      <c r="H613" s="2">
        <v>0</v>
      </c>
    </row>
    <row r="614" spans="1:8" x14ac:dyDescent="0.3">
      <c r="A614" t="s">
        <v>924</v>
      </c>
      <c r="B614" t="s">
        <v>540</v>
      </c>
      <c r="C614" t="s">
        <v>541</v>
      </c>
      <c r="D614" t="s">
        <v>545</v>
      </c>
      <c r="E614" t="s">
        <v>543</v>
      </c>
      <c r="F614" t="str">
        <f>IFERROR(INDEX(Aux!E:E,MATCH(Dados!E614,Aux!D:D,0)),INDEX(Aux!K:K,MATCH(Dados!B614,Aux!I:I,0)))</f>
        <v>Esquerda</v>
      </c>
      <c r="G614" s="2">
        <v>8196</v>
      </c>
      <c r="H614" s="2">
        <v>5559</v>
      </c>
    </row>
    <row r="615" spans="1:8" x14ac:dyDescent="0.3">
      <c r="A615" t="s">
        <v>921</v>
      </c>
      <c r="B615" t="s">
        <v>135</v>
      </c>
      <c r="C615" t="s">
        <v>136</v>
      </c>
      <c r="D615" t="s">
        <v>100</v>
      </c>
      <c r="E615" t="s">
        <v>135</v>
      </c>
      <c r="F615" t="str">
        <f>IFERROR(INDEX(Aux!E:E,MATCH(Dados!E615,Aux!D:D,0)),INDEX(Aux!K:K,MATCH(Dados!B615,Aux!I:I,0)))</f>
        <v>Centro esquerda</v>
      </c>
      <c r="G615" s="2">
        <v>8148</v>
      </c>
      <c r="H615" s="2">
        <v>15904</v>
      </c>
    </row>
    <row r="616" spans="1:8" x14ac:dyDescent="0.3">
      <c r="A616" t="s">
        <v>932</v>
      </c>
      <c r="B616" t="s">
        <v>866</v>
      </c>
      <c r="C616" t="s">
        <v>867</v>
      </c>
      <c r="D616" t="s">
        <v>255</v>
      </c>
      <c r="E616" t="s">
        <v>256</v>
      </c>
      <c r="F616" t="str">
        <f>IFERROR(INDEX(Aux!E:E,MATCH(Dados!E616,Aux!D:D,0)),INDEX(Aux!K:K,MATCH(Dados!B616,Aux!I:I,0)))</f>
        <v>Centro esquerda</v>
      </c>
      <c r="G616" s="2">
        <v>8023</v>
      </c>
      <c r="H616" s="2">
        <v>0</v>
      </c>
    </row>
    <row r="617" spans="1:8" x14ac:dyDescent="0.3">
      <c r="A617" t="s">
        <v>922</v>
      </c>
      <c r="B617" t="s">
        <v>866</v>
      </c>
      <c r="C617" t="s">
        <v>867</v>
      </c>
      <c r="D617" t="s">
        <v>410</v>
      </c>
      <c r="E617" t="s">
        <v>411</v>
      </c>
      <c r="F617" t="str">
        <f>IFERROR(INDEX(Aux!E:E,MATCH(Dados!E617,Aux!D:D,0)),INDEX(Aux!K:K,MATCH(Dados!B617,Aux!I:I,0)))</f>
        <v>Centro esquerda</v>
      </c>
      <c r="G617" s="2">
        <v>8023</v>
      </c>
      <c r="H617" s="2">
        <v>0</v>
      </c>
    </row>
    <row r="618" spans="1:8" x14ac:dyDescent="0.3">
      <c r="A618" t="s">
        <v>937</v>
      </c>
      <c r="B618" t="s">
        <v>135</v>
      </c>
      <c r="C618" t="s">
        <v>136</v>
      </c>
      <c r="D618" t="s">
        <v>178</v>
      </c>
      <c r="E618" t="s">
        <v>179</v>
      </c>
      <c r="F618" t="str">
        <f>IFERROR(INDEX(Aux!E:E,MATCH(Dados!E618,Aux!D:D,0)),INDEX(Aux!K:K,MATCH(Dados!B618,Aux!I:I,0)))</f>
        <v>Esquerda</v>
      </c>
      <c r="G618" s="2">
        <v>7896</v>
      </c>
      <c r="H618" s="2">
        <v>0</v>
      </c>
    </row>
    <row r="619" spans="1:8" x14ac:dyDescent="0.3">
      <c r="A619" t="s">
        <v>937</v>
      </c>
      <c r="B619" t="s">
        <v>282</v>
      </c>
      <c r="C619" t="s">
        <v>283</v>
      </c>
      <c r="D619" t="s">
        <v>320</v>
      </c>
      <c r="E619" t="s">
        <v>321</v>
      </c>
      <c r="F619" t="str">
        <f>IFERROR(INDEX(Aux!E:E,MATCH(Dados!E619,Aux!D:D,0)),INDEX(Aux!K:K,MATCH(Dados!B619,Aux!I:I,0)))</f>
        <v>Indefinido</v>
      </c>
      <c r="G619" s="2">
        <v>7877</v>
      </c>
      <c r="H619" s="2">
        <v>0</v>
      </c>
    </row>
    <row r="620" spans="1:8" x14ac:dyDescent="0.3">
      <c r="A620" t="s">
        <v>929</v>
      </c>
      <c r="B620" t="s">
        <v>899</v>
      </c>
      <c r="C620" t="s">
        <v>900</v>
      </c>
      <c r="D620" t="s">
        <v>84</v>
      </c>
      <c r="E620" t="s">
        <v>85</v>
      </c>
      <c r="F620" t="str">
        <f>IFERROR(INDEX(Aux!E:E,MATCH(Dados!E620,Aux!D:D,0)),INDEX(Aux!K:K,MATCH(Dados!B620,Aux!I:I,0)))</f>
        <v>Direita</v>
      </c>
      <c r="G620" s="2">
        <v>7851</v>
      </c>
      <c r="H620" s="2">
        <v>0</v>
      </c>
    </row>
    <row r="621" spans="1:8" x14ac:dyDescent="0.3">
      <c r="A621" t="s">
        <v>915</v>
      </c>
      <c r="B621" t="s">
        <v>484</v>
      </c>
      <c r="C621" t="s">
        <v>485</v>
      </c>
      <c r="D621" t="s">
        <v>100</v>
      </c>
      <c r="E621" t="s">
        <v>484</v>
      </c>
      <c r="F621" t="str">
        <f>IFERROR(INDEX(Aux!E:E,MATCH(Dados!E621,Aux!D:D,0)),INDEX(Aux!K:K,MATCH(Dados!B621,Aux!I:I,0)))</f>
        <v>Esquerda</v>
      </c>
      <c r="G621" s="2">
        <v>7633</v>
      </c>
      <c r="H621" s="2">
        <v>11137</v>
      </c>
    </row>
    <row r="622" spans="1:8" x14ac:dyDescent="0.3">
      <c r="A622" t="s">
        <v>933</v>
      </c>
      <c r="B622" t="s">
        <v>540</v>
      </c>
      <c r="C622" t="s">
        <v>541</v>
      </c>
      <c r="D622" t="s">
        <v>542</v>
      </c>
      <c r="E622" t="s">
        <v>543</v>
      </c>
      <c r="F622" t="str">
        <f>IFERROR(INDEX(Aux!E:E,MATCH(Dados!E622,Aux!D:D,0)),INDEX(Aux!K:K,MATCH(Dados!B622,Aux!I:I,0)))</f>
        <v>Esquerda</v>
      </c>
      <c r="G622" s="2">
        <v>7577</v>
      </c>
      <c r="H622" s="2">
        <v>15712</v>
      </c>
    </row>
    <row r="623" spans="1:8" x14ac:dyDescent="0.3">
      <c r="A623" t="s">
        <v>918</v>
      </c>
      <c r="B623" t="s">
        <v>787</v>
      </c>
      <c r="C623" t="s">
        <v>788</v>
      </c>
      <c r="D623" t="s">
        <v>80</v>
      </c>
      <c r="E623" t="s">
        <v>81</v>
      </c>
      <c r="F623" t="str">
        <f>IFERROR(INDEX(Aux!E:E,MATCH(Dados!E623,Aux!D:D,0)),INDEX(Aux!K:K,MATCH(Dados!B623,Aux!I:I,0)))</f>
        <v>Centro</v>
      </c>
      <c r="G623" s="2">
        <v>7572</v>
      </c>
      <c r="H623" s="2">
        <v>249</v>
      </c>
    </row>
    <row r="624" spans="1:8" x14ac:dyDescent="0.3">
      <c r="A624" t="s">
        <v>933</v>
      </c>
      <c r="B624" t="s">
        <v>4</v>
      </c>
      <c r="C624" t="s">
        <v>5</v>
      </c>
      <c r="D624" t="s">
        <v>12</v>
      </c>
      <c r="E624" t="s">
        <v>13</v>
      </c>
      <c r="F624" t="str">
        <f>IFERROR(INDEX(Aux!E:E,MATCH(Dados!E624,Aux!D:D,0)),INDEX(Aux!K:K,MATCH(Dados!B624,Aux!I:I,0)))</f>
        <v>Direita</v>
      </c>
      <c r="G624" s="2">
        <v>7437</v>
      </c>
      <c r="H624" s="2">
        <v>0</v>
      </c>
    </row>
    <row r="625" spans="1:8" x14ac:dyDescent="0.3">
      <c r="A625" t="s">
        <v>928</v>
      </c>
      <c r="B625" t="s">
        <v>783</v>
      </c>
      <c r="C625" t="s">
        <v>784</v>
      </c>
      <c r="D625" t="s">
        <v>383</v>
      </c>
      <c r="E625" t="s">
        <v>384</v>
      </c>
      <c r="F625" t="str">
        <f>IFERROR(INDEX(Aux!E:E,MATCH(Dados!E625,Aux!D:D,0)),INDEX(Aux!K:K,MATCH(Dados!B625,Aux!I:I,0)))</f>
        <v>Centro</v>
      </c>
      <c r="G625" s="2">
        <v>7391</v>
      </c>
      <c r="H625" s="2">
        <v>0</v>
      </c>
    </row>
    <row r="626" spans="1:8" x14ac:dyDescent="0.3">
      <c r="A626" t="s">
        <v>924</v>
      </c>
      <c r="B626" t="s">
        <v>770</v>
      </c>
      <c r="C626" t="s">
        <v>771</v>
      </c>
      <c r="D626" t="s">
        <v>194</v>
      </c>
      <c r="E626" t="s">
        <v>195</v>
      </c>
      <c r="F626" t="str">
        <f>IFERROR(INDEX(Aux!E:E,MATCH(Dados!E626,Aux!D:D,0)),INDEX(Aux!K:K,MATCH(Dados!B626,Aux!I:I,0)))</f>
        <v>Esquerda</v>
      </c>
      <c r="G626" s="2">
        <v>7375</v>
      </c>
      <c r="H626" s="2">
        <v>0</v>
      </c>
    </row>
    <row r="627" spans="1:8" x14ac:dyDescent="0.3">
      <c r="A627" t="s">
        <v>921</v>
      </c>
      <c r="B627" t="s">
        <v>388</v>
      </c>
      <c r="C627" t="s">
        <v>389</v>
      </c>
      <c r="D627" t="s">
        <v>100</v>
      </c>
      <c r="E627" t="s">
        <v>388</v>
      </c>
      <c r="F627" t="str">
        <f>IFERROR(INDEX(Aux!E:E,MATCH(Dados!E627,Aux!D:D,0)),INDEX(Aux!K:K,MATCH(Dados!B627,Aux!I:I,0)))</f>
        <v>Centro direita</v>
      </c>
      <c r="G627" s="2">
        <v>7366</v>
      </c>
      <c r="H627" s="2">
        <v>0</v>
      </c>
    </row>
    <row r="628" spans="1:8" x14ac:dyDescent="0.3">
      <c r="A628" t="s">
        <v>928</v>
      </c>
      <c r="B628" t="s">
        <v>899</v>
      </c>
      <c r="C628" t="s">
        <v>900</v>
      </c>
      <c r="D628" t="s">
        <v>100</v>
      </c>
      <c r="E628" t="s">
        <v>899</v>
      </c>
      <c r="F628" t="str">
        <f>IFERROR(INDEX(Aux!E:E,MATCH(Dados!E628,Aux!D:D,0)),INDEX(Aux!K:K,MATCH(Dados!B628,Aux!I:I,0)))</f>
        <v>Direita</v>
      </c>
      <c r="G628" s="2">
        <v>7304</v>
      </c>
      <c r="H628" s="2">
        <v>0</v>
      </c>
    </row>
    <row r="629" spans="1:8" x14ac:dyDescent="0.3">
      <c r="A629" t="s">
        <v>928</v>
      </c>
      <c r="B629" t="s">
        <v>664</v>
      </c>
      <c r="C629" t="s">
        <v>665</v>
      </c>
      <c r="D629" t="s">
        <v>90</v>
      </c>
      <c r="E629" t="s">
        <v>91</v>
      </c>
      <c r="F629" t="str">
        <f>IFERROR(INDEX(Aux!E:E,MATCH(Dados!E629,Aux!D:D,0)),INDEX(Aux!K:K,MATCH(Dados!B629,Aux!I:I,0)))</f>
        <v>Indefinido</v>
      </c>
      <c r="G629" s="2">
        <v>7247</v>
      </c>
      <c r="H629" s="2">
        <v>0</v>
      </c>
    </row>
    <row r="630" spans="1:8" x14ac:dyDescent="0.3">
      <c r="A630" t="s">
        <v>924</v>
      </c>
      <c r="B630" t="s">
        <v>641</v>
      </c>
      <c r="C630" t="s">
        <v>642</v>
      </c>
      <c r="D630" t="s">
        <v>100</v>
      </c>
      <c r="E630" t="s">
        <v>641</v>
      </c>
      <c r="F630" t="str">
        <f>IFERROR(INDEX(Aux!E:E,MATCH(Dados!E630,Aux!D:D,0)),INDEX(Aux!K:K,MATCH(Dados!B630,Aux!I:I,0)))</f>
        <v>Centro direita</v>
      </c>
      <c r="G630" s="2">
        <v>7234</v>
      </c>
      <c r="H630" s="2">
        <v>1264</v>
      </c>
    </row>
    <row r="631" spans="1:8" x14ac:dyDescent="0.3">
      <c r="A631" t="s">
        <v>936</v>
      </c>
      <c r="B631" t="s">
        <v>334</v>
      </c>
      <c r="C631" t="s">
        <v>335</v>
      </c>
      <c r="D631" t="s">
        <v>184</v>
      </c>
      <c r="E631" t="s">
        <v>185</v>
      </c>
      <c r="F631" t="str">
        <f>IFERROR(INDEX(Aux!E:E,MATCH(Dados!E631,Aux!D:D,0)),INDEX(Aux!K:K,MATCH(Dados!B631,Aux!I:I,0)))</f>
        <v>Esquerda</v>
      </c>
      <c r="G631" s="2">
        <v>7065</v>
      </c>
      <c r="H631" s="2">
        <v>0</v>
      </c>
    </row>
    <row r="632" spans="1:8" x14ac:dyDescent="0.3">
      <c r="A632" t="s">
        <v>931</v>
      </c>
      <c r="B632" t="s">
        <v>135</v>
      </c>
      <c r="C632" t="s">
        <v>136</v>
      </c>
      <c r="D632" t="s">
        <v>143</v>
      </c>
      <c r="E632" t="s">
        <v>144</v>
      </c>
      <c r="F632" t="str">
        <f>IFERROR(INDEX(Aux!E:E,MATCH(Dados!E632,Aux!D:D,0)),INDEX(Aux!K:K,MATCH(Dados!B632,Aux!I:I,0)))</f>
        <v>Direita</v>
      </c>
      <c r="G632" s="2">
        <v>7040</v>
      </c>
      <c r="H632" s="2">
        <v>15968</v>
      </c>
    </row>
    <row r="633" spans="1:8" x14ac:dyDescent="0.3">
      <c r="A633" t="s">
        <v>930</v>
      </c>
      <c r="B633" t="s">
        <v>599</v>
      </c>
      <c r="C633" t="s">
        <v>600</v>
      </c>
      <c r="D633" t="s">
        <v>20</v>
      </c>
      <c r="E633" t="s">
        <v>21</v>
      </c>
      <c r="F633" t="str">
        <f>IFERROR(INDEX(Aux!E:E,MATCH(Dados!E633,Aux!D:D,0)),INDEX(Aux!K:K,MATCH(Dados!B633,Aux!I:I,0)))</f>
        <v>Centro direita</v>
      </c>
      <c r="G633" s="2">
        <v>6992</v>
      </c>
      <c r="H633" s="2">
        <v>0</v>
      </c>
    </row>
    <row r="634" spans="1:8" x14ac:dyDescent="0.3">
      <c r="A634" t="s">
        <v>929</v>
      </c>
      <c r="B634" t="s">
        <v>135</v>
      </c>
      <c r="C634" t="s">
        <v>136</v>
      </c>
      <c r="D634" t="s">
        <v>100</v>
      </c>
      <c r="E634" t="s">
        <v>135</v>
      </c>
      <c r="F634" t="str">
        <f>IFERROR(INDEX(Aux!E:E,MATCH(Dados!E634,Aux!D:D,0)),INDEX(Aux!K:K,MATCH(Dados!B634,Aux!I:I,0)))</f>
        <v>Centro esquerda</v>
      </c>
      <c r="G634" s="2">
        <v>6989</v>
      </c>
      <c r="H634" s="2">
        <v>8223</v>
      </c>
    </row>
    <row r="635" spans="1:8" x14ac:dyDescent="0.3">
      <c r="A635" t="s">
        <v>923</v>
      </c>
      <c r="B635" t="s">
        <v>783</v>
      </c>
      <c r="C635" t="s">
        <v>784</v>
      </c>
      <c r="D635" t="s">
        <v>546</v>
      </c>
      <c r="E635" t="s">
        <v>547</v>
      </c>
      <c r="F635" t="str">
        <f>IFERROR(INDEX(Aux!E:E,MATCH(Dados!E635,Aux!D:D,0)),INDEX(Aux!K:K,MATCH(Dados!B635,Aux!I:I,0)))</f>
        <v>Esquerda</v>
      </c>
      <c r="G635" s="2">
        <v>6919</v>
      </c>
      <c r="H635" s="2">
        <v>6233</v>
      </c>
    </row>
    <row r="636" spans="1:8" x14ac:dyDescent="0.3">
      <c r="A636" t="s">
        <v>940</v>
      </c>
      <c r="B636" t="s">
        <v>737</v>
      </c>
      <c r="C636" t="s">
        <v>738</v>
      </c>
      <c r="D636" t="s">
        <v>745</v>
      </c>
      <c r="E636" t="s">
        <v>746</v>
      </c>
      <c r="F636" t="str">
        <f>IFERROR(INDEX(Aux!E:E,MATCH(Dados!E636,Aux!D:D,0)),INDEX(Aux!K:K,MATCH(Dados!B636,Aux!I:I,0)))</f>
        <v>Centro direita</v>
      </c>
      <c r="G636" s="2">
        <v>6838</v>
      </c>
      <c r="H636" s="2">
        <v>0</v>
      </c>
    </row>
    <row r="637" spans="1:8" x14ac:dyDescent="0.3">
      <c r="A637" t="s">
        <v>933</v>
      </c>
      <c r="B637" t="s">
        <v>690</v>
      </c>
      <c r="C637" t="s">
        <v>691</v>
      </c>
      <c r="D637" t="s">
        <v>398</v>
      </c>
      <c r="E637" t="s">
        <v>399</v>
      </c>
      <c r="F637" t="str">
        <f>IFERROR(INDEX(Aux!E:E,MATCH(Dados!E637,Aux!D:D,0)),INDEX(Aux!K:K,MATCH(Dados!B637,Aux!I:I,0)))</f>
        <v>Indefinido</v>
      </c>
      <c r="G637" s="2">
        <v>6808</v>
      </c>
      <c r="H637" s="2">
        <v>0</v>
      </c>
    </row>
    <row r="638" spans="1:8" x14ac:dyDescent="0.3">
      <c r="A638" t="s">
        <v>929</v>
      </c>
      <c r="B638" t="s">
        <v>770</v>
      </c>
      <c r="C638" t="s">
        <v>771</v>
      </c>
      <c r="D638" t="s">
        <v>426</v>
      </c>
      <c r="E638" t="s">
        <v>427</v>
      </c>
      <c r="F638" t="str">
        <f>IFERROR(INDEX(Aux!E:E,MATCH(Dados!E638,Aux!D:D,0)),INDEX(Aux!K:K,MATCH(Dados!B638,Aux!I:I,0)))</f>
        <v>Centro</v>
      </c>
      <c r="G638" s="2">
        <v>6797</v>
      </c>
      <c r="H638" s="2">
        <v>0</v>
      </c>
    </row>
    <row r="639" spans="1:8" x14ac:dyDescent="0.3">
      <c r="A639" t="s">
        <v>940</v>
      </c>
      <c r="B639" t="s">
        <v>770</v>
      </c>
      <c r="C639" t="s">
        <v>771</v>
      </c>
      <c r="D639" t="s">
        <v>778</v>
      </c>
      <c r="E639" t="s">
        <v>779</v>
      </c>
      <c r="F639" t="str">
        <f>IFERROR(INDEX(Aux!E:E,MATCH(Dados!E639,Aux!D:D,0)),INDEX(Aux!K:K,MATCH(Dados!B639,Aux!I:I,0)))</f>
        <v>Indefinido</v>
      </c>
      <c r="G639" s="2">
        <v>6712</v>
      </c>
      <c r="H639" s="2">
        <v>0</v>
      </c>
    </row>
    <row r="640" spans="1:8" x14ac:dyDescent="0.3">
      <c r="A640" t="s">
        <v>921</v>
      </c>
      <c r="B640" t="s">
        <v>783</v>
      </c>
      <c r="C640" t="s">
        <v>784</v>
      </c>
      <c r="D640" t="s">
        <v>263</v>
      </c>
      <c r="E640" t="s">
        <v>264</v>
      </c>
      <c r="F640" t="str">
        <f>IFERROR(INDEX(Aux!E:E,MATCH(Dados!E640,Aux!D:D,0)),INDEX(Aux!K:K,MATCH(Dados!B640,Aux!I:I,0)))</f>
        <v>Centro direita</v>
      </c>
      <c r="G640" s="2">
        <v>6614</v>
      </c>
      <c r="H640" s="2">
        <v>0</v>
      </c>
    </row>
    <row r="641" spans="1:8" x14ac:dyDescent="0.3">
      <c r="A641" t="s">
        <v>933</v>
      </c>
      <c r="B641" t="s">
        <v>206</v>
      </c>
      <c r="C641" t="s">
        <v>207</v>
      </c>
      <c r="D641" t="s">
        <v>214</v>
      </c>
      <c r="E641" t="s">
        <v>215</v>
      </c>
      <c r="F641" t="str">
        <f>IFERROR(INDEX(Aux!E:E,MATCH(Dados!E641,Aux!D:D,0)),INDEX(Aux!K:K,MATCH(Dados!B641,Aux!I:I,0)))</f>
        <v>Centro</v>
      </c>
      <c r="G641" s="2">
        <v>6590</v>
      </c>
      <c r="H641" s="2">
        <v>0</v>
      </c>
    </row>
    <row r="642" spans="1:8" x14ac:dyDescent="0.3">
      <c r="A642" t="s">
        <v>939</v>
      </c>
      <c r="B642" t="s">
        <v>4</v>
      </c>
      <c r="C642" t="s">
        <v>5</v>
      </c>
      <c r="D642" t="s">
        <v>42</v>
      </c>
      <c r="E642" t="s">
        <v>43</v>
      </c>
      <c r="F642" t="str">
        <f>IFERROR(INDEX(Aux!E:E,MATCH(Dados!E642,Aux!D:D,0)),INDEX(Aux!K:K,MATCH(Dados!B642,Aux!I:I,0)))</f>
        <v>Centro</v>
      </c>
      <c r="G642" s="2">
        <v>6478</v>
      </c>
      <c r="H642" s="2">
        <v>0</v>
      </c>
    </row>
    <row r="643" spans="1:8" x14ac:dyDescent="0.3">
      <c r="A643" t="s">
        <v>922</v>
      </c>
      <c r="B643" t="s">
        <v>664</v>
      </c>
      <c r="C643" t="s">
        <v>665</v>
      </c>
      <c r="D643" t="s">
        <v>410</v>
      </c>
      <c r="E643" t="s">
        <v>411</v>
      </c>
      <c r="F643" t="str">
        <f>IFERROR(INDEX(Aux!E:E,MATCH(Dados!E643,Aux!D:D,0)),INDEX(Aux!K:K,MATCH(Dados!B643,Aux!I:I,0)))</f>
        <v>Centro esquerda</v>
      </c>
      <c r="G643" s="2">
        <v>6362</v>
      </c>
      <c r="H643" s="2">
        <v>0</v>
      </c>
    </row>
    <row r="644" spans="1:8" x14ac:dyDescent="0.3">
      <c r="A644" t="s">
        <v>940</v>
      </c>
      <c r="B644" t="s">
        <v>334</v>
      </c>
      <c r="C644" t="s">
        <v>335</v>
      </c>
      <c r="D644" t="s">
        <v>161</v>
      </c>
      <c r="E644" t="s">
        <v>162</v>
      </c>
      <c r="F644" t="str">
        <f>IFERROR(INDEX(Aux!E:E,MATCH(Dados!E644,Aux!D:D,0)),INDEX(Aux!K:K,MATCH(Dados!B644,Aux!I:I,0)))</f>
        <v>Esquerda</v>
      </c>
      <c r="G644" s="2">
        <v>6361</v>
      </c>
      <c r="H644" s="2">
        <v>0</v>
      </c>
    </row>
    <row r="645" spans="1:8" x14ac:dyDescent="0.3">
      <c r="A645" t="s">
        <v>932</v>
      </c>
      <c r="B645" t="s">
        <v>864</v>
      </c>
      <c r="C645" t="s">
        <v>865</v>
      </c>
      <c r="D645" t="s">
        <v>619</v>
      </c>
      <c r="E645" t="s">
        <v>620</v>
      </c>
      <c r="F645" t="str">
        <f>IFERROR(INDEX(Aux!E:E,MATCH(Dados!E645,Aux!D:D,0)),INDEX(Aux!K:K,MATCH(Dados!B645,Aux!I:I,0)))</f>
        <v>Indefinido</v>
      </c>
      <c r="G645" s="2">
        <v>6308</v>
      </c>
      <c r="H645" s="2">
        <v>0</v>
      </c>
    </row>
    <row r="646" spans="1:8" x14ac:dyDescent="0.3">
      <c r="A646" t="s">
        <v>929</v>
      </c>
      <c r="B646" t="s">
        <v>783</v>
      </c>
      <c r="C646" t="s">
        <v>784</v>
      </c>
      <c r="D646" t="s">
        <v>312</v>
      </c>
      <c r="E646" t="s">
        <v>313</v>
      </c>
      <c r="F646" t="str">
        <f>IFERROR(INDEX(Aux!E:E,MATCH(Dados!E646,Aux!D:D,0)),INDEX(Aux!K:K,MATCH(Dados!B646,Aux!I:I,0)))</f>
        <v>Direita</v>
      </c>
      <c r="G646" s="2">
        <v>6264</v>
      </c>
      <c r="H646" s="2">
        <v>0</v>
      </c>
    </row>
    <row r="647" spans="1:8" x14ac:dyDescent="0.3">
      <c r="A647" t="s">
        <v>934</v>
      </c>
      <c r="B647" t="s">
        <v>871</v>
      </c>
      <c r="C647" t="s">
        <v>872</v>
      </c>
      <c r="D647" t="s">
        <v>204</v>
      </c>
      <c r="E647" t="s">
        <v>205</v>
      </c>
      <c r="F647" t="str">
        <f>IFERROR(INDEX(Aux!E:E,MATCH(Dados!E647,Aux!D:D,0)),INDEX(Aux!K:K,MATCH(Dados!B647,Aux!I:I,0)))</f>
        <v>Esquerda</v>
      </c>
      <c r="G647" s="2">
        <v>6259</v>
      </c>
      <c r="H647" s="2">
        <v>0</v>
      </c>
    </row>
    <row r="648" spans="1:8" x14ac:dyDescent="0.3">
      <c r="A648" t="s">
        <v>935</v>
      </c>
      <c r="B648" t="s">
        <v>785</v>
      </c>
      <c r="C648" t="s">
        <v>786</v>
      </c>
      <c r="D648" t="s">
        <v>100</v>
      </c>
      <c r="E648" t="s">
        <v>785</v>
      </c>
      <c r="F648" t="str">
        <f>IFERROR(INDEX(Aux!E:E,MATCH(Dados!E648,Aux!D:D,0)),INDEX(Aux!K:K,MATCH(Dados!B648,Aux!I:I,0)))</f>
        <v>Centro direita</v>
      </c>
      <c r="G648" s="2">
        <v>6154</v>
      </c>
      <c r="H648" s="2">
        <v>0</v>
      </c>
    </row>
    <row r="649" spans="1:8" x14ac:dyDescent="0.3">
      <c r="A649" t="s">
        <v>930</v>
      </c>
      <c r="B649" t="s">
        <v>866</v>
      </c>
      <c r="C649" t="s">
        <v>867</v>
      </c>
      <c r="D649" t="s">
        <v>157</v>
      </c>
      <c r="E649" t="s">
        <v>158</v>
      </c>
      <c r="F649" t="str">
        <f>IFERROR(INDEX(Aux!E:E,MATCH(Dados!E649,Aux!D:D,0)),INDEX(Aux!K:K,MATCH(Dados!B649,Aux!I:I,0)))</f>
        <v>Centro</v>
      </c>
      <c r="G649" s="2">
        <v>6143</v>
      </c>
      <c r="H649" s="2">
        <v>0</v>
      </c>
    </row>
    <row r="650" spans="1:8" x14ac:dyDescent="0.3">
      <c r="A650" t="s">
        <v>927</v>
      </c>
      <c r="B650" t="s">
        <v>282</v>
      </c>
      <c r="C650" t="s">
        <v>283</v>
      </c>
      <c r="D650" t="s">
        <v>304</v>
      </c>
      <c r="E650" t="s">
        <v>305</v>
      </c>
      <c r="F650" t="str">
        <f>IFERROR(INDEX(Aux!E:E,MATCH(Dados!E650,Aux!D:D,0)),INDEX(Aux!K:K,MATCH(Dados!B650,Aux!I:I,0)))</f>
        <v>Indefinido</v>
      </c>
      <c r="G650" s="2">
        <v>6049</v>
      </c>
      <c r="H650" s="2">
        <v>0</v>
      </c>
    </row>
    <row r="651" spans="1:8" x14ac:dyDescent="0.3">
      <c r="A651" t="s">
        <v>921</v>
      </c>
      <c r="B651" t="s">
        <v>206</v>
      </c>
      <c r="C651" t="s">
        <v>207</v>
      </c>
      <c r="D651" t="s">
        <v>263</v>
      </c>
      <c r="E651" t="s">
        <v>264</v>
      </c>
      <c r="F651" t="str">
        <f>IFERROR(INDEX(Aux!E:E,MATCH(Dados!E651,Aux!D:D,0)),INDEX(Aux!K:K,MATCH(Dados!B651,Aux!I:I,0)))</f>
        <v>Centro direita</v>
      </c>
      <c r="G651" s="2">
        <v>6025</v>
      </c>
      <c r="H651" s="2">
        <v>0</v>
      </c>
    </row>
    <row r="652" spans="1:8" x14ac:dyDescent="0.3">
      <c r="A652" t="s">
        <v>940</v>
      </c>
      <c r="B652" t="s">
        <v>206</v>
      </c>
      <c r="C652" t="s">
        <v>207</v>
      </c>
      <c r="D652" t="s">
        <v>239</v>
      </c>
      <c r="E652" t="s">
        <v>240</v>
      </c>
      <c r="F652" t="str">
        <f>IFERROR(INDEX(Aux!E:E,MATCH(Dados!E652,Aux!D:D,0)),INDEX(Aux!K:K,MATCH(Dados!B652,Aux!I:I,0)))</f>
        <v>Centro direita</v>
      </c>
      <c r="G652" s="2">
        <v>6002</v>
      </c>
      <c r="H652" s="2">
        <v>0</v>
      </c>
    </row>
    <row r="653" spans="1:8" x14ac:dyDescent="0.3">
      <c r="A653" t="s">
        <v>938</v>
      </c>
      <c r="B653" t="s">
        <v>206</v>
      </c>
      <c r="C653" t="s">
        <v>207</v>
      </c>
      <c r="D653" t="s">
        <v>218</v>
      </c>
      <c r="E653" t="s">
        <v>219</v>
      </c>
      <c r="F653" t="str">
        <f>IFERROR(INDEX(Aux!E:E,MATCH(Dados!E653,Aux!D:D,0)),INDEX(Aux!K:K,MATCH(Dados!B653,Aux!I:I,0)))</f>
        <v>Centro</v>
      </c>
      <c r="G653" s="2">
        <v>5984</v>
      </c>
      <c r="H653" s="2">
        <v>0</v>
      </c>
    </row>
    <row r="654" spans="1:8" x14ac:dyDescent="0.3">
      <c r="A654" t="s">
        <v>938</v>
      </c>
      <c r="B654" t="s">
        <v>770</v>
      </c>
      <c r="C654" t="s">
        <v>771</v>
      </c>
      <c r="D654" t="s">
        <v>10</v>
      </c>
      <c r="E654" t="s">
        <v>11</v>
      </c>
      <c r="F654" t="str">
        <f>IFERROR(INDEX(Aux!E:E,MATCH(Dados!E654,Aux!D:D,0)),INDEX(Aux!K:K,MATCH(Dados!B654,Aux!I:I,0)))</f>
        <v>Indefinido</v>
      </c>
      <c r="G654" s="2">
        <v>5948</v>
      </c>
      <c r="H654" s="2">
        <v>0</v>
      </c>
    </row>
    <row r="655" spans="1:8" x14ac:dyDescent="0.3">
      <c r="A655" t="s">
        <v>940</v>
      </c>
      <c r="B655" t="s">
        <v>440</v>
      </c>
      <c r="C655" t="s">
        <v>441</v>
      </c>
      <c r="D655" t="s">
        <v>161</v>
      </c>
      <c r="E655" t="s">
        <v>162</v>
      </c>
      <c r="F655" t="str">
        <f>IFERROR(INDEX(Aux!E:E,MATCH(Dados!E655,Aux!D:D,0)),INDEX(Aux!K:K,MATCH(Dados!B655,Aux!I:I,0)))</f>
        <v>Esquerda</v>
      </c>
      <c r="G655" s="2">
        <v>5936</v>
      </c>
      <c r="H655" s="2">
        <v>0</v>
      </c>
    </row>
    <row r="656" spans="1:8" x14ac:dyDescent="0.3">
      <c r="A656" t="s">
        <v>931</v>
      </c>
      <c r="B656" t="s">
        <v>770</v>
      </c>
      <c r="C656" t="s">
        <v>771</v>
      </c>
      <c r="D656" t="s">
        <v>666</v>
      </c>
      <c r="E656" t="s">
        <v>667</v>
      </c>
      <c r="F656" t="str">
        <f>IFERROR(INDEX(Aux!E:E,MATCH(Dados!E656,Aux!D:D,0)),INDEX(Aux!K:K,MATCH(Dados!B656,Aux!I:I,0)))</f>
        <v>Centro</v>
      </c>
      <c r="G656" s="2">
        <v>5918</v>
      </c>
      <c r="H656" s="2">
        <v>0</v>
      </c>
    </row>
    <row r="657" spans="1:8" x14ac:dyDescent="0.3">
      <c r="A657" t="s">
        <v>933</v>
      </c>
      <c r="B657" t="s">
        <v>787</v>
      </c>
      <c r="C657" t="s">
        <v>788</v>
      </c>
      <c r="D657" t="s">
        <v>12</v>
      </c>
      <c r="E657" t="s">
        <v>13</v>
      </c>
      <c r="F657" t="str">
        <f>IFERROR(INDEX(Aux!E:E,MATCH(Dados!E657,Aux!D:D,0)),INDEX(Aux!K:K,MATCH(Dados!B657,Aux!I:I,0)))</f>
        <v>Direita</v>
      </c>
      <c r="G657" s="2">
        <v>5908</v>
      </c>
      <c r="H657" s="2">
        <v>0</v>
      </c>
    </row>
    <row r="658" spans="1:8" x14ac:dyDescent="0.3">
      <c r="A658" t="s">
        <v>927</v>
      </c>
      <c r="B658" t="s">
        <v>540</v>
      </c>
      <c r="C658" t="s">
        <v>541</v>
      </c>
      <c r="D658" t="s">
        <v>100</v>
      </c>
      <c r="E658" t="s">
        <v>540</v>
      </c>
      <c r="F658" t="str">
        <f>IFERROR(INDEX(Aux!E:E,MATCH(Dados!E658,Aux!D:D,0)),INDEX(Aux!K:K,MATCH(Dados!B658,Aux!I:I,0)))</f>
        <v>Esquerda</v>
      </c>
      <c r="G658" s="2">
        <v>5902</v>
      </c>
      <c r="H658" s="2">
        <v>4086</v>
      </c>
    </row>
    <row r="659" spans="1:8" x14ac:dyDescent="0.3">
      <c r="A659" t="s">
        <v>938</v>
      </c>
      <c r="B659" t="s">
        <v>135</v>
      </c>
      <c r="C659" t="s">
        <v>136</v>
      </c>
      <c r="D659" t="s">
        <v>100</v>
      </c>
      <c r="E659" t="s">
        <v>135</v>
      </c>
      <c r="F659" t="str">
        <f>IFERROR(INDEX(Aux!E:E,MATCH(Dados!E659,Aux!D:D,0)),INDEX(Aux!K:K,MATCH(Dados!B659,Aux!I:I,0)))</f>
        <v>Centro esquerda</v>
      </c>
      <c r="G659" s="2">
        <v>5726</v>
      </c>
      <c r="H659" s="2">
        <v>5489</v>
      </c>
    </row>
    <row r="660" spans="1:8" x14ac:dyDescent="0.3">
      <c r="A660" t="s">
        <v>924</v>
      </c>
      <c r="B660" t="s">
        <v>866</v>
      </c>
      <c r="C660" t="s">
        <v>867</v>
      </c>
      <c r="D660" t="s">
        <v>54</v>
      </c>
      <c r="E660" t="s">
        <v>55</v>
      </c>
      <c r="F660" t="str">
        <f>IFERROR(INDEX(Aux!E:E,MATCH(Dados!E660,Aux!D:D,0)),INDEX(Aux!K:K,MATCH(Dados!B660,Aux!I:I,0)))</f>
        <v>Centro esquerda</v>
      </c>
      <c r="G660" s="2">
        <v>5712</v>
      </c>
      <c r="H660" s="2">
        <v>2044</v>
      </c>
    </row>
    <row r="661" spans="1:8" x14ac:dyDescent="0.3">
      <c r="A661" t="s">
        <v>927</v>
      </c>
      <c r="B661" t="s">
        <v>641</v>
      </c>
      <c r="C661" t="s">
        <v>642</v>
      </c>
      <c r="D661" t="s">
        <v>406</v>
      </c>
      <c r="E661" t="s">
        <v>407</v>
      </c>
      <c r="F661" t="str">
        <f>IFERROR(INDEX(Aux!E:E,MATCH(Dados!E661,Aux!D:D,0)),INDEX(Aux!K:K,MATCH(Dados!B661,Aux!I:I,0)))</f>
        <v>Direita</v>
      </c>
      <c r="G661" s="2">
        <v>5620</v>
      </c>
      <c r="H661" s="2">
        <v>0</v>
      </c>
    </row>
    <row r="662" spans="1:8" x14ac:dyDescent="0.3">
      <c r="A662" t="s">
        <v>931</v>
      </c>
      <c r="B662" t="s">
        <v>641</v>
      </c>
      <c r="C662" t="s">
        <v>642</v>
      </c>
      <c r="D662" t="s">
        <v>143</v>
      </c>
      <c r="E662" t="s">
        <v>144</v>
      </c>
      <c r="F662" t="str">
        <f>IFERROR(INDEX(Aux!E:E,MATCH(Dados!E662,Aux!D:D,0)),INDEX(Aux!K:K,MATCH(Dados!B662,Aux!I:I,0)))</f>
        <v>Direita</v>
      </c>
      <c r="G662" s="2">
        <v>5568</v>
      </c>
      <c r="H662" s="2">
        <v>9550</v>
      </c>
    </row>
    <row r="663" spans="1:8" x14ac:dyDescent="0.3">
      <c r="A663" t="s">
        <v>938</v>
      </c>
      <c r="B663" t="s">
        <v>866</v>
      </c>
      <c r="C663" t="s">
        <v>867</v>
      </c>
      <c r="D663" t="s">
        <v>10</v>
      </c>
      <c r="E663" t="s">
        <v>11</v>
      </c>
      <c r="F663" t="str">
        <f>IFERROR(INDEX(Aux!E:E,MATCH(Dados!E663,Aux!D:D,0)),INDEX(Aux!K:K,MATCH(Dados!B663,Aux!I:I,0)))</f>
        <v>Indefinido</v>
      </c>
      <c r="G663" s="2">
        <v>5536</v>
      </c>
      <c r="H663" s="2">
        <v>0</v>
      </c>
    </row>
    <row r="664" spans="1:8" x14ac:dyDescent="0.3">
      <c r="A664" t="s">
        <v>927</v>
      </c>
      <c r="B664" t="s">
        <v>857</v>
      </c>
      <c r="C664" t="s">
        <v>858</v>
      </c>
      <c r="D664" t="s">
        <v>406</v>
      </c>
      <c r="E664" t="s">
        <v>407</v>
      </c>
      <c r="F664" t="str">
        <f>IFERROR(INDEX(Aux!E:E,MATCH(Dados!E664,Aux!D:D,0)),INDEX(Aux!K:K,MATCH(Dados!B664,Aux!I:I,0)))</f>
        <v>Direita</v>
      </c>
      <c r="G664" s="2">
        <v>5521</v>
      </c>
      <c r="H664" s="2">
        <v>0</v>
      </c>
    </row>
    <row r="665" spans="1:8" x14ac:dyDescent="0.3">
      <c r="A665" t="s">
        <v>924</v>
      </c>
      <c r="B665" t="s">
        <v>135</v>
      </c>
      <c r="C665" t="s">
        <v>136</v>
      </c>
      <c r="D665" t="s">
        <v>194</v>
      </c>
      <c r="E665" t="s">
        <v>195</v>
      </c>
      <c r="F665" t="str">
        <f>IFERROR(INDEX(Aux!E:E,MATCH(Dados!E665,Aux!D:D,0)),INDEX(Aux!K:K,MATCH(Dados!B665,Aux!I:I,0)))</f>
        <v>Esquerda</v>
      </c>
      <c r="G665" s="2">
        <v>5500</v>
      </c>
      <c r="H665" s="2">
        <v>0</v>
      </c>
    </row>
    <row r="666" spans="1:8" x14ac:dyDescent="0.3">
      <c r="A666" t="s">
        <v>938</v>
      </c>
      <c r="B666" t="s">
        <v>334</v>
      </c>
      <c r="C666" t="s">
        <v>335</v>
      </c>
      <c r="D666" t="s">
        <v>218</v>
      </c>
      <c r="E666" t="s">
        <v>219</v>
      </c>
      <c r="F666" t="str">
        <f>IFERROR(INDEX(Aux!E:E,MATCH(Dados!E666,Aux!D:D,0)),INDEX(Aux!K:K,MATCH(Dados!B666,Aux!I:I,0)))</f>
        <v>Centro</v>
      </c>
      <c r="G666" s="2">
        <v>5451</v>
      </c>
      <c r="H666" s="2">
        <v>0</v>
      </c>
    </row>
    <row r="667" spans="1:8" x14ac:dyDescent="0.3">
      <c r="A667" t="s">
        <v>921</v>
      </c>
      <c r="B667" t="s">
        <v>866</v>
      </c>
      <c r="C667" t="s">
        <v>867</v>
      </c>
      <c r="D667" t="s">
        <v>316</v>
      </c>
      <c r="E667" t="s">
        <v>317</v>
      </c>
      <c r="F667" t="str">
        <f>IFERROR(INDEX(Aux!E:E,MATCH(Dados!E667,Aux!D:D,0)),INDEX(Aux!K:K,MATCH(Dados!B667,Aux!I:I,0)))</f>
        <v>Direita</v>
      </c>
      <c r="G667" s="2">
        <v>5304</v>
      </c>
      <c r="H667" s="2">
        <v>11658</v>
      </c>
    </row>
    <row r="668" spans="1:8" x14ac:dyDescent="0.3">
      <c r="A668" t="s">
        <v>937</v>
      </c>
      <c r="B668" t="s">
        <v>787</v>
      </c>
      <c r="C668" t="s">
        <v>788</v>
      </c>
      <c r="D668" t="s">
        <v>655</v>
      </c>
      <c r="E668" t="s">
        <v>656</v>
      </c>
      <c r="F668" t="str">
        <f>IFERROR(INDEX(Aux!E:E,MATCH(Dados!E668,Aux!D:D,0)),INDEX(Aux!K:K,MATCH(Dados!B668,Aux!I:I,0)))</f>
        <v>Esquerda</v>
      </c>
      <c r="G668" s="2">
        <v>5287</v>
      </c>
      <c r="H668" s="2">
        <v>0</v>
      </c>
    </row>
    <row r="669" spans="1:8" x14ac:dyDescent="0.3">
      <c r="A669" t="s">
        <v>933</v>
      </c>
      <c r="B669" t="s">
        <v>871</v>
      </c>
      <c r="C669" t="s">
        <v>872</v>
      </c>
      <c r="D669" t="s">
        <v>347</v>
      </c>
      <c r="E669" t="s">
        <v>348</v>
      </c>
      <c r="F669" t="str">
        <f>IFERROR(INDEX(Aux!E:E,MATCH(Dados!E669,Aux!D:D,0)),INDEX(Aux!K:K,MATCH(Dados!B669,Aux!I:I,0)))</f>
        <v>Esquerda</v>
      </c>
      <c r="G669" s="2">
        <v>5261</v>
      </c>
      <c r="H669" s="2">
        <v>0</v>
      </c>
    </row>
    <row r="670" spans="1:8" x14ac:dyDescent="0.3">
      <c r="A670" t="s">
        <v>938</v>
      </c>
      <c r="B670" t="s">
        <v>641</v>
      </c>
      <c r="C670" t="s">
        <v>642</v>
      </c>
      <c r="D670" t="s">
        <v>284</v>
      </c>
      <c r="E670" t="s">
        <v>285</v>
      </c>
      <c r="F670" t="str">
        <f>IFERROR(INDEX(Aux!E:E,MATCH(Dados!E670,Aux!D:D,0)),INDEX(Aux!K:K,MATCH(Dados!B670,Aux!I:I,0)))</f>
        <v>Direita</v>
      </c>
      <c r="G670" s="2">
        <v>5149</v>
      </c>
      <c r="H670" s="2">
        <v>3615</v>
      </c>
    </row>
    <row r="671" spans="1:8" x14ac:dyDescent="0.3">
      <c r="A671" t="s">
        <v>938</v>
      </c>
      <c r="B671" t="s">
        <v>664</v>
      </c>
      <c r="C671" t="s">
        <v>665</v>
      </c>
      <c r="D671" t="s">
        <v>218</v>
      </c>
      <c r="E671" t="s">
        <v>219</v>
      </c>
      <c r="F671" t="str">
        <f>IFERROR(INDEX(Aux!E:E,MATCH(Dados!E671,Aux!D:D,0)),INDEX(Aux!K:K,MATCH(Dados!B671,Aux!I:I,0)))</f>
        <v>Centro</v>
      </c>
      <c r="G671" s="2">
        <v>5117</v>
      </c>
      <c r="H671" s="2">
        <v>0</v>
      </c>
    </row>
    <row r="672" spans="1:8" x14ac:dyDescent="0.3">
      <c r="A672" t="s">
        <v>937</v>
      </c>
      <c r="B672" t="s">
        <v>785</v>
      </c>
      <c r="C672" t="s">
        <v>786</v>
      </c>
      <c r="D672" t="s">
        <v>100</v>
      </c>
      <c r="E672" t="s">
        <v>785</v>
      </c>
      <c r="F672" t="str">
        <f>IFERROR(INDEX(Aux!E:E,MATCH(Dados!E672,Aux!D:D,0)),INDEX(Aux!K:K,MATCH(Dados!B672,Aux!I:I,0)))</f>
        <v>Centro direita</v>
      </c>
      <c r="G672" s="2">
        <v>5093</v>
      </c>
      <c r="H672" s="2">
        <v>0</v>
      </c>
    </row>
    <row r="673" spans="1:8" x14ac:dyDescent="0.3">
      <c r="A673" t="s">
        <v>940</v>
      </c>
      <c r="B673" t="s">
        <v>871</v>
      </c>
      <c r="C673" t="s">
        <v>872</v>
      </c>
      <c r="D673" t="s">
        <v>760</v>
      </c>
      <c r="E673" t="s">
        <v>761</v>
      </c>
      <c r="F673" t="str">
        <f>IFERROR(INDEX(Aux!E:E,MATCH(Dados!E673,Aux!D:D,0)),INDEX(Aux!K:K,MATCH(Dados!B673,Aux!I:I,0)))</f>
        <v>Esquerda</v>
      </c>
      <c r="G673" s="2">
        <v>5092</v>
      </c>
      <c r="H673" s="2">
        <v>0</v>
      </c>
    </row>
    <row r="674" spans="1:8" x14ac:dyDescent="0.3">
      <c r="A674" t="s">
        <v>935</v>
      </c>
      <c r="B674" t="s">
        <v>866</v>
      </c>
      <c r="C674" t="s">
        <v>867</v>
      </c>
      <c r="D674" t="s">
        <v>261</v>
      </c>
      <c r="E674" t="s">
        <v>262</v>
      </c>
      <c r="F674" t="str">
        <f>IFERROR(INDEX(Aux!E:E,MATCH(Dados!E674,Aux!D:D,0)),INDEX(Aux!K:K,MATCH(Dados!B674,Aux!I:I,0)))</f>
        <v>Centro</v>
      </c>
      <c r="G674" s="2">
        <v>5091</v>
      </c>
      <c r="H674" s="2">
        <v>11266</v>
      </c>
    </row>
    <row r="675" spans="1:8" x14ac:dyDescent="0.3">
      <c r="A675" t="s">
        <v>919</v>
      </c>
      <c r="B675" t="s">
        <v>282</v>
      </c>
      <c r="C675" t="s">
        <v>283</v>
      </c>
      <c r="D675" t="s">
        <v>327</v>
      </c>
      <c r="E675" t="s">
        <v>323</v>
      </c>
      <c r="F675" t="str">
        <f>IFERROR(INDEX(Aux!E:E,MATCH(Dados!E675,Aux!D:D,0)),INDEX(Aux!K:K,MATCH(Dados!B675,Aux!I:I,0)))</f>
        <v>Direita</v>
      </c>
      <c r="G675" s="2">
        <v>5077</v>
      </c>
      <c r="H675" s="2">
        <v>0</v>
      </c>
    </row>
    <row r="676" spans="1:8" x14ac:dyDescent="0.3">
      <c r="A676" t="s">
        <v>938</v>
      </c>
      <c r="B676" t="s">
        <v>540</v>
      </c>
      <c r="C676" t="s">
        <v>541</v>
      </c>
      <c r="D676" t="s">
        <v>218</v>
      </c>
      <c r="E676" t="s">
        <v>219</v>
      </c>
      <c r="F676" t="str">
        <f>IFERROR(INDEX(Aux!E:E,MATCH(Dados!E676,Aux!D:D,0)),INDEX(Aux!K:K,MATCH(Dados!B676,Aux!I:I,0)))</f>
        <v>Centro</v>
      </c>
      <c r="G676" s="2">
        <v>5029</v>
      </c>
      <c r="H676" s="2">
        <v>0</v>
      </c>
    </row>
    <row r="677" spans="1:8" x14ac:dyDescent="0.3">
      <c r="A677" t="s">
        <v>936</v>
      </c>
      <c r="B677" t="s">
        <v>871</v>
      </c>
      <c r="C677" t="s">
        <v>872</v>
      </c>
      <c r="D677" t="s">
        <v>184</v>
      </c>
      <c r="E677" t="s">
        <v>185</v>
      </c>
      <c r="F677" t="str">
        <f>IFERROR(INDEX(Aux!E:E,MATCH(Dados!E677,Aux!D:D,0)),INDEX(Aux!K:K,MATCH(Dados!B677,Aux!I:I,0)))</f>
        <v>Esquerda</v>
      </c>
      <c r="G677" s="2">
        <v>4974</v>
      </c>
      <c r="H677" s="2">
        <v>0</v>
      </c>
    </row>
    <row r="678" spans="1:8" x14ac:dyDescent="0.3">
      <c r="A678" t="s">
        <v>939</v>
      </c>
      <c r="B678" t="s">
        <v>558</v>
      </c>
      <c r="C678" t="s">
        <v>559</v>
      </c>
      <c r="D678" t="s">
        <v>568</v>
      </c>
      <c r="E678" t="s">
        <v>569</v>
      </c>
      <c r="F678" t="str">
        <f>IFERROR(INDEX(Aux!E:E,MATCH(Dados!E678,Aux!D:D,0)),INDEX(Aux!K:K,MATCH(Dados!B678,Aux!I:I,0)))</f>
        <v>Centro direita</v>
      </c>
      <c r="G678" s="2">
        <v>4875</v>
      </c>
      <c r="H678" s="2">
        <v>0</v>
      </c>
    </row>
    <row r="679" spans="1:8" x14ac:dyDescent="0.3">
      <c r="A679" t="s">
        <v>923</v>
      </c>
      <c r="B679" t="s">
        <v>737</v>
      </c>
      <c r="C679" t="s">
        <v>738</v>
      </c>
      <c r="D679" t="s">
        <v>147</v>
      </c>
      <c r="E679" t="s">
        <v>148</v>
      </c>
      <c r="F679" t="str">
        <f>IFERROR(INDEX(Aux!E:E,MATCH(Dados!E679,Aux!D:D,0)),INDEX(Aux!K:K,MATCH(Dados!B679,Aux!I:I,0)))</f>
        <v>Centro direita</v>
      </c>
      <c r="G679" s="2">
        <v>4867</v>
      </c>
      <c r="H679" s="2">
        <v>0</v>
      </c>
    </row>
    <row r="680" spans="1:8" x14ac:dyDescent="0.3">
      <c r="A680" t="s">
        <v>935</v>
      </c>
      <c r="B680" t="s">
        <v>902</v>
      </c>
      <c r="C680" t="s">
        <v>902</v>
      </c>
      <c r="D680" t="s">
        <v>261</v>
      </c>
      <c r="E680" t="s">
        <v>262</v>
      </c>
      <c r="F680" t="str">
        <f>IFERROR(INDEX(Aux!E:E,MATCH(Dados!E680,Aux!D:D,0)),INDEX(Aux!K:K,MATCH(Dados!B680,Aux!I:I,0)))</f>
        <v>Centro</v>
      </c>
      <c r="G680" s="2">
        <v>4848</v>
      </c>
      <c r="H680" s="2">
        <v>13898</v>
      </c>
    </row>
    <row r="681" spans="1:8" x14ac:dyDescent="0.3">
      <c r="A681" t="s">
        <v>930</v>
      </c>
      <c r="B681" t="s">
        <v>787</v>
      </c>
      <c r="C681" t="s">
        <v>788</v>
      </c>
      <c r="D681" t="s">
        <v>392</v>
      </c>
      <c r="E681" t="s">
        <v>393</v>
      </c>
      <c r="F681" t="str">
        <f>IFERROR(INDEX(Aux!E:E,MATCH(Dados!E681,Aux!D:D,0)),INDEX(Aux!K:K,MATCH(Dados!B681,Aux!I:I,0)))</f>
        <v>Centro direita</v>
      </c>
      <c r="G681" s="2">
        <v>4785</v>
      </c>
      <c r="H681" s="2">
        <v>0</v>
      </c>
    </row>
    <row r="682" spans="1:8" x14ac:dyDescent="0.3">
      <c r="A682" t="s">
        <v>927</v>
      </c>
      <c r="B682" t="s">
        <v>664</v>
      </c>
      <c r="C682" t="s">
        <v>665</v>
      </c>
      <c r="D682" t="s">
        <v>670</v>
      </c>
      <c r="E682" t="s">
        <v>671</v>
      </c>
      <c r="F682" t="str">
        <f>IFERROR(INDEX(Aux!E:E,MATCH(Dados!E682,Aux!D:D,0)),INDEX(Aux!K:K,MATCH(Dados!B682,Aux!I:I,0)))</f>
        <v>Centro</v>
      </c>
      <c r="G682" s="2">
        <v>4581</v>
      </c>
      <c r="H682" s="2">
        <v>0</v>
      </c>
    </row>
    <row r="683" spans="1:8" x14ac:dyDescent="0.3">
      <c r="A683" t="s">
        <v>938</v>
      </c>
      <c r="B683" t="s">
        <v>864</v>
      </c>
      <c r="C683" t="s">
        <v>865</v>
      </c>
      <c r="D683" t="s">
        <v>218</v>
      </c>
      <c r="E683" t="s">
        <v>219</v>
      </c>
      <c r="F683" t="str">
        <f>IFERROR(INDEX(Aux!E:E,MATCH(Dados!E683,Aux!D:D,0)),INDEX(Aux!K:K,MATCH(Dados!B683,Aux!I:I,0)))</f>
        <v>Centro</v>
      </c>
      <c r="G683" s="2">
        <v>4580</v>
      </c>
      <c r="H683" s="2">
        <v>0</v>
      </c>
    </row>
    <row r="684" spans="1:8" x14ac:dyDescent="0.3">
      <c r="A684" t="s">
        <v>925</v>
      </c>
      <c r="B684" t="s">
        <v>783</v>
      </c>
      <c r="C684" t="s">
        <v>784</v>
      </c>
      <c r="D684" t="s">
        <v>28</v>
      </c>
      <c r="E684" t="s">
        <v>29</v>
      </c>
      <c r="F684" t="str">
        <f>IFERROR(INDEX(Aux!E:E,MATCH(Dados!E684,Aux!D:D,0)),INDEX(Aux!K:K,MATCH(Dados!B684,Aux!I:I,0)))</f>
        <v>Centro</v>
      </c>
      <c r="G684" s="2">
        <v>4506</v>
      </c>
      <c r="H684" s="2">
        <v>0</v>
      </c>
    </row>
    <row r="685" spans="1:8" x14ac:dyDescent="0.3">
      <c r="A685" t="s">
        <v>932</v>
      </c>
      <c r="B685" t="s">
        <v>135</v>
      </c>
      <c r="C685" t="s">
        <v>136</v>
      </c>
      <c r="D685" t="s">
        <v>174</v>
      </c>
      <c r="E685" t="s">
        <v>156</v>
      </c>
      <c r="F685" t="str">
        <f>IFERROR(INDEX(Aux!E:E,MATCH(Dados!E685,Aux!D:D,0)),INDEX(Aux!K:K,MATCH(Dados!B685,Aux!I:I,0)))</f>
        <v>Esquerda</v>
      </c>
      <c r="G685" s="2">
        <v>4444</v>
      </c>
      <c r="H685" s="2">
        <v>5405</v>
      </c>
    </row>
    <row r="686" spans="1:8" x14ac:dyDescent="0.3">
      <c r="A686" t="s">
        <v>939</v>
      </c>
      <c r="B686" t="s">
        <v>783</v>
      </c>
      <c r="C686" t="s">
        <v>784</v>
      </c>
      <c r="D686" t="s">
        <v>42</v>
      </c>
      <c r="E686" t="s">
        <v>43</v>
      </c>
      <c r="F686" t="str">
        <f>IFERROR(INDEX(Aux!E:E,MATCH(Dados!E686,Aux!D:D,0)),INDEX(Aux!K:K,MATCH(Dados!B686,Aux!I:I,0)))</f>
        <v>Centro</v>
      </c>
      <c r="G686" s="2">
        <v>4433</v>
      </c>
      <c r="H686" s="2">
        <v>0</v>
      </c>
    </row>
    <row r="687" spans="1:8" x14ac:dyDescent="0.3">
      <c r="A687" t="s">
        <v>933</v>
      </c>
      <c r="B687" t="s">
        <v>893</v>
      </c>
      <c r="C687" t="s">
        <v>894</v>
      </c>
      <c r="D687" t="s">
        <v>398</v>
      </c>
      <c r="E687" t="s">
        <v>399</v>
      </c>
      <c r="F687" t="str">
        <f>IFERROR(INDEX(Aux!E:E,MATCH(Dados!E687,Aux!D:D,0)),INDEX(Aux!K:K,MATCH(Dados!B687,Aux!I:I,0)))</f>
        <v>Indefinido</v>
      </c>
      <c r="G687" s="2">
        <v>4408</v>
      </c>
      <c r="H687" s="2">
        <v>0</v>
      </c>
    </row>
    <row r="688" spans="1:8" x14ac:dyDescent="0.3">
      <c r="A688" t="s">
        <v>918</v>
      </c>
      <c r="B688" t="s">
        <v>866</v>
      </c>
      <c r="C688" t="s">
        <v>867</v>
      </c>
      <c r="D688" t="s">
        <v>361</v>
      </c>
      <c r="E688" t="s">
        <v>362</v>
      </c>
      <c r="F688" t="str">
        <f>IFERROR(INDEX(Aux!E:E,MATCH(Dados!E688,Aux!D:D,0)),INDEX(Aux!K:K,MATCH(Dados!B688,Aux!I:I,0)))</f>
        <v>Esquerda</v>
      </c>
      <c r="G688" s="2">
        <v>4390</v>
      </c>
      <c r="H688" s="2">
        <v>0</v>
      </c>
    </row>
    <row r="689" spans="1:8" x14ac:dyDescent="0.3">
      <c r="A689" t="s">
        <v>921</v>
      </c>
      <c r="B689" t="s">
        <v>902</v>
      </c>
      <c r="C689" t="s">
        <v>902</v>
      </c>
      <c r="D689" t="s">
        <v>743</v>
      </c>
      <c r="E689" t="s">
        <v>744</v>
      </c>
      <c r="F689" t="str">
        <f>IFERROR(INDEX(Aux!E:E,MATCH(Dados!E689,Aux!D:D,0)),INDEX(Aux!K:K,MATCH(Dados!B689,Aux!I:I,0)))</f>
        <v>Centro</v>
      </c>
      <c r="G689" s="2">
        <v>4385</v>
      </c>
      <c r="H689" s="2">
        <v>0</v>
      </c>
    </row>
    <row r="690" spans="1:8" x14ac:dyDescent="0.3">
      <c r="A690" t="s">
        <v>919</v>
      </c>
      <c r="B690" t="s">
        <v>899</v>
      </c>
      <c r="C690" t="s">
        <v>900</v>
      </c>
      <c r="D690" t="s">
        <v>198</v>
      </c>
      <c r="E690" t="s">
        <v>199</v>
      </c>
      <c r="F690" t="str">
        <f>IFERROR(INDEX(Aux!E:E,MATCH(Dados!E690,Aux!D:D,0)),INDEX(Aux!K:K,MATCH(Dados!B690,Aux!I:I,0)))</f>
        <v>Direita</v>
      </c>
      <c r="G690" s="2">
        <v>4337</v>
      </c>
      <c r="H690" s="2">
        <v>15121</v>
      </c>
    </row>
    <row r="691" spans="1:8" x14ac:dyDescent="0.3">
      <c r="A691" t="s">
        <v>936</v>
      </c>
      <c r="B691" t="s">
        <v>866</v>
      </c>
      <c r="C691" t="s">
        <v>867</v>
      </c>
      <c r="D691" t="s">
        <v>587</v>
      </c>
      <c r="E691" t="s">
        <v>588</v>
      </c>
      <c r="F691" t="str">
        <f>IFERROR(INDEX(Aux!E:E,MATCH(Dados!E691,Aux!D:D,0)),INDEX(Aux!K:K,MATCH(Dados!B691,Aux!I:I,0)))</f>
        <v>Centro</v>
      </c>
      <c r="G691" s="2">
        <v>4320</v>
      </c>
      <c r="H691" s="2">
        <v>9216</v>
      </c>
    </row>
    <row r="692" spans="1:8" x14ac:dyDescent="0.3">
      <c r="A692" t="s">
        <v>934</v>
      </c>
      <c r="B692" t="s">
        <v>440</v>
      </c>
      <c r="C692" t="s">
        <v>441</v>
      </c>
      <c r="D692" t="s">
        <v>300</v>
      </c>
      <c r="E692" t="s">
        <v>301</v>
      </c>
      <c r="F692" t="str">
        <f>IFERROR(INDEX(Aux!E:E,MATCH(Dados!E692,Aux!D:D,0)),INDEX(Aux!K:K,MATCH(Dados!B692,Aux!I:I,0)))</f>
        <v>Direita</v>
      </c>
      <c r="G692" s="2">
        <v>4243</v>
      </c>
      <c r="H692" s="2">
        <v>0</v>
      </c>
    </row>
    <row r="693" spans="1:8" x14ac:dyDescent="0.3">
      <c r="A693" t="s">
        <v>940</v>
      </c>
      <c r="B693" t="s">
        <v>641</v>
      </c>
      <c r="C693" t="s">
        <v>642</v>
      </c>
      <c r="D693" t="s">
        <v>418</v>
      </c>
      <c r="E693" t="s">
        <v>419</v>
      </c>
      <c r="F693" t="str">
        <f>IFERROR(INDEX(Aux!E:E,MATCH(Dados!E693,Aux!D:D,0)),INDEX(Aux!K:K,MATCH(Dados!B693,Aux!I:I,0)))</f>
        <v>Centro direita</v>
      </c>
      <c r="G693" s="2">
        <v>4207</v>
      </c>
      <c r="H693" s="2">
        <v>0</v>
      </c>
    </row>
    <row r="694" spans="1:8" x14ac:dyDescent="0.3">
      <c r="A694" t="s">
        <v>940</v>
      </c>
      <c r="B694" t="s">
        <v>690</v>
      </c>
      <c r="C694" t="s">
        <v>691</v>
      </c>
      <c r="D694" t="s">
        <v>306</v>
      </c>
      <c r="E694" t="s">
        <v>307</v>
      </c>
      <c r="F694" t="str">
        <f>IFERROR(INDEX(Aux!E:E,MATCH(Dados!E694,Aux!D:D,0)),INDEX(Aux!K:K,MATCH(Dados!B694,Aux!I:I,0)))</f>
        <v>Direita</v>
      </c>
      <c r="G694" s="2">
        <v>4163</v>
      </c>
      <c r="H694" s="2">
        <v>0</v>
      </c>
    </row>
    <row r="695" spans="1:8" x14ac:dyDescent="0.3">
      <c r="A695" t="s">
        <v>934</v>
      </c>
      <c r="B695" t="s">
        <v>737</v>
      </c>
      <c r="C695" t="s">
        <v>738</v>
      </c>
      <c r="D695" t="s">
        <v>682</v>
      </c>
      <c r="E695" t="s">
        <v>683</v>
      </c>
      <c r="F695" t="str">
        <f>IFERROR(INDEX(Aux!E:E,MATCH(Dados!E695,Aux!D:D,0)),INDEX(Aux!K:K,MATCH(Dados!B695,Aux!I:I,0)))</f>
        <v>Centro direita</v>
      </c>
      <c r="G695" s="2">
        <v>4152</v>
      </c>
      <c r="H695" s="2">
        <v>0</v>
      </c>
    </row>
    <row r="696" spans="1:8" x14ac:dyDescent="0.3">
      <c r="A696" t="s">
        <v>938</v>
      </c>
      <c r="B696" t="s">
        <v>440</v>
      </c>
      <c r="C696" t="s">
        <v>441</v>
      </c>
      <c r="D696" t="s">
        <v>10</v>
      </c>
      <c r="E696" t="s">
        <v>11</v>
      </c>
      <c r="F696" t="str">
        <f>IFERROR(INDEX(Aux!E:E,MATCH(Dados!E696,Aux!D:D,0)),INDEX(Aux!K:K,MATCH(Dados!B696,Aux!I:I,0)))</f>
        <v>Indefinido</v>
      </c>
      <c r="G696" s="2">
        <v>4124</v>
      </c>
      <c r="H696" s="2">
        <v>0</v>
      </c>
    </row>
    <row r="697" spans="1:8" x14ac:dyDescent="0.3">
      <c r="A697" t="s">
        <v>930</v>
      </c>
      <c r="B697" t="s">
        <v>540</v>
      </c>
      <c r="C697" t="s">
        <v>541</v>
      </c>
      <c r="D697" t="s">
        <v>100</v>
      </c>
      <c r="E697" t="s">
        <v>540</v>
      </c>
      <c r="F697" t="str">
        <f>IFERROR(INDEX(Aux!E:E,MATCH(Dados!E697,Aux!D:D,0)),INDEX(Aux!K:K,MATCH(Dados!B697,Aux!I:I,0)))</f>
        <v>Esquerda</v>
      </c>
      <c r="G697" s="2">
        <v>4012</v>
      </c>
      <c r="H697" s="2">
        <v>8022</v>
      </c>
    </row>
    <row r="698" spans="1:8" x14ac:dyDescent="0.3">
      <c r="A698" t="s">
        <v>932</v>
      </c>
      <c r="B698" t="s">
        <v>664</v>
      </c>
      <c r="C698" t="s">
        <v>665</v>
      </c>
      <c r="D698" t="s">
        <v>332</v>
      </c>
      <c r="E698" t="s">
        <v>333</v>
      </c>
      <c r="F698" t="str">
        <f>IFERROR(INDEX(Aux!E:E,MATCH(Dados!E698,Aux!D:D,0)),INDEX(Aux!K:K,MATCH(Dados!B698,Aux!I:I,0)))</f>
        <v>Direita</v>
      </c>
      <c r="G698" s="2">
        <v>4003</v>
      </c>
      <c r="H698" s="2">
        <v>0</v>
      </c>
    </row>
    <row r="699" spans="1:8" x14ac:dyDescent="0.3">
      <c r="A699" t="s">
        <v>940</v>
      </c>
      <c r="B699" t="s">
        <v>388</v>
      </c>
      <c r="C699" t="s">
        <v>389</v>
      </c>
      <c r="D699" t="s">
        <v>418</v>
      </c>
      <c r="E699" t="s">
        <v>419</v>
      </c>
      <c r="F699" t="str">
        <f>IFERROR(INDEX(Aux!E:E,MATCH(Dados!E699,Aux!D:D,0)),INDEX(Aux!K:K,MATCH(Dados!B699,Aux!I:I,0)))</f>
        <v>Centro direita</v>
      </c>
      <c r="G699" s="2">
        <v>3980</v>
      </c>
      <c r="H699" s="2">
        <v>0</v>
      </c>
    </row>
    <row r="700" spans="1:8" x14ac:dyDescent="0.3">
      <c r="A700" t="s">
        <v>923</v>
      </c>
      <c r="B700" t="s">
        <v>864</v>
      </c>
      <c r="C700" t="s">
        <v>865</v>
      </c>
      <c r="D700" t="s">
        <v>224</v>
      </c>
      <c r="E700" t="s">
        <v>225</v>
      </c>
      <c r="F700" t="str">
        <f>IFERROR(INDEX(Aux!E:E,MATCH(Dados!E700,Aux!D:D,0)),INDEX(Aux!K:K,MATCH(Dados!B700,Aux!I:I,0)))</f>
        <v>Centro</v>
      </c>
      <c r="G700" s="2">
        <v>3892</v>
      </c>
      <c r="H700" s="2">
        <v>0</v>
      </c>
    </row>
    <row r="701" spans="1:8" x14ac:dyDescent="0.3">
      <c r="A701" t="s">
        <v>922</v>
      </c>
      <c r="B701" t="s">
        <v>864</v>
      </c>
      <c r="C701" t="s">
        <v>865</v>
      </c>
      <c r="D701" t="s">
        <v>355</v>
      </c>
      <c r="E701" t="s">
        <v>356</v>
      </c>
      <c r="F701" t="str">
        <f>IFERROR(INDEX(Aux!E:E,MATCH(Dados!E701,Aux!D:D,0)),INDEX(Aux!K:K,MATCH(Dados!B701,Aux!I:I,0)))</f>
        <v>Centro esquerda</v>
      </c>
      <c r="G701" s="2">
        <v>3884</v>
      </c>
      <c r="H701" s="2">
        <v>0</v>
      </c>
    </row>
    <row r="702" spans="1:8" x14ac:dyDescent="0.3">
      <c r="A702" t="s">
        <v>921</v>
      </c>
      <c r="B702" t="s">
        <v>334</v>
      </c>
      <c r="C702" t="s">
        <v>335</v>
      </c>
      <c r="D702" t="s">
        <v>336</v>
      </c>
      <c r="E702" t="s">
        <v>337</v>
      </c>
      <c r="F702" t="str">
        <f>IFERROR(INDEX(Aux!E:E,MATCH(Dados!E702,Aux!D:D,0)),INDEX(Aux!K:K,MATCH(Dados!B702,Aux!I:I,0)))</f>
        <v>Centro direita</v>
      </c>
      <c r="G702" s="2">
        <v>3832</v>
      </c>
      <c r="H702" s="2">
        <v>0</v>
      </c>
    </row>
    <row r="703" spans="1:8" x14ac:dyDescent="0.3">
      <c r="A703" t="s">
        <v>919</v>
      </c>
      <c r="B703" t="s">
        <v>664</v>
      </c>
      <c r="C703" t="s">
        <v>665</v>
      </c>
      <c r="D703" t="s">
        <v>680</v>
      </c>
      <c r="E703" t="s">
        <v>681</v>
      </c>
      <c r="F703" t="str">
        <f>IFERROR(INDEX(Aux!E:E,MATCH(Dados!E703,Aux!D:D,0)),INDEX(Aux!K:K,MATCH(Dados!B703,Aux!I:I,0)))</f>
        <v>Centro direita</v>
      </c>
      <c r="G703" s="2">
        <v>3733</v>
      </c>
      <c r="H703" s="2">
        <v>83856</v>
      </c>
    </row>
    <row r="704" spans="1:8" x14ac:dyDescent="0.3">
      <c r="A704" t="s">
        <v>931</v>
      </c>
      <c r="B704" t="s">
        <v>864</v>
      </c>
      <c r="C704" t="s">
        <v>865</v>
      </c>
      <c r="D704" t="s">
        <v>100</v>
      </c>
      <c r="E704" t="s">
        <v>864</v>
      </c>
      <c r="F704" t="str">
        <f>IFERROR(INDEX(Aux!E:E,MATCH(Dados!E704,Aux!D:D,0)),INDEX(Aux!K:K,MATCH(Dados!B704,Aux!I:I,0)))</f>
        <v>Centro</v>
      </c>
      <c r="G704" s="2">
        <v>3618</v>
      </c>
      <c r="H704" s="2">
        <v>0</v>
      </c>
    </row>
    <row r="705" spans="1:8" x14ac:dyDescent="0.3">
      <c r="A705" t="s">
        <v>929</v>
      </c>
      <c r="B705" t="s">
        <v>664</v>
      </c>
      <c r="C705" t="s">
        <v>665</v>
      </c>
      <c r="D705" t="s">
        <v>100</v>
      </c>
      <c r="E705" t="s">
        <v>664</v>
      </c>
      <c r="F705" t="str">
        <f>IFERROR(INDEX(Aux!E:E,MATCH(Dados!E705,Aux!D:D,0)),INDEX(Aux!K:K,MATCH(Dados!B705,Aux!I:I,0)))</f>
        <v>Centro direita</v>
      </c>
      <c r="G705" s="2">
        <v>3554</v>
      </c>
      <c r="H705" s="2">
        <v>0</v>
      </c>
    </row>
    <row r="706" spans="1:8" x14ac:dyDescent="0.3">
      <c r="A706" t="s">
        <v>927</v>
      </c>
      <c r="B706" t="s">
        <v>770</v>
      </c>
      <c r="C706" t="s">
        <v>771</v>
      </c>
      <c r="D706" t="s">
        <v>36</v>
      </c>
      <c r="E706" t="s">
        <v>37</v>
      </c>
      <c r="F706" t="str">
        <f>IFERROR(INDEX(Aux!E:E,MATCH(Dados!E706,Aux!D:D,0)),INDEX(Aux!K:K,MATCH(Dados!B706,Aux!I:I,0)))</f>
        <v>Centro</v>
      </c>
      <c r="G706" s="2">
        <v>3551</v>
      </c>
      <c r="H706" s="2">
        <v>0</v>
      </c>
    </row>
    <row r="707" spans="1:8" x14ac:dyDescent="0.3">
      <c r="A707" t="s">
        <v>939</v>
      </c>
      <c r="B707" t="s">
        <v>206</v>
      </c>
      <c r="C707" t="s">
        <v>207</v>
      </c>
      <c r="D707" t="s">
        <v>42</v>
      </c>
      <c r="E707" t="s">
        <v>43</v>
      </c>
      <c r="F707" t="str">
        <f>IFERROR(INDEX(Aux!E:E,MATCH(Dados!E707,Aux!D:D,0)),INDEX(Aux!K:K,MATCH(Dados!B707,Aux!I:I,0)))</f>
        <v>Centro</v>
      </c>
      <c r="G707" s="2">
        <v>3532</v>
      </c>
      <c r="H707" s="2">
        <v>0</v>
      </c>
    </row>
    <row r="708" spans="1:8" x14ac:dyDescent="0.3">
      <c r="A708" t="s">
        <v>916</v>
      </c>
      <c r="B708" t="s">
        <v>484</v>
      </c>
      <c r="C708" t="s">
        <v>485</v>
      </c>
      <c r="D708" t="s">
        <v>100</v>
      </c>
      <c r="E708" t="s">
        <v>484</v>
      </c>
      <c r="F708" t="str">
        <f>IFERROR(INDEX(Aux!E:E,MATCH(Dados!E708,Aux!D:D,0)),INDEX(Aux!K:K,MATCH(Dados!B708,Aux!I:I,0)))</f>
        <v>Esquerda</v>
      </c>
      <c r="G708" s="2">
        <v>3527</v>
      </c>
      <c r="H708" s="2">
        <v>6257</v>
      </c>
    </row>
    <row r="709" spans="1:8" x14ac:dyDescent="0.3">
      <c r="A709" t="s">
        <v>935</v>
      </c>
      <c r="B709" t="s">
        <v>893</v>
      </c>
      <c r="C709" t="s">
        <v>894</v>
      </c>
      <c r="D709" t="s">
        <v>373</v>
      </c>
      <c r="E709" t="s">
        <v>374</v>
      </c>
      <c r="F709" t="str">
        <f>IFERROR(INDEX(Aux!E:E,MATCH(Dados!E709,Aux!D:D,0)),INDEX(Aux!K:K,MATCH(Dados!B709,Aux!I:I,0)))</f>
        <v>Indefinido</v>
      </c>
      <c r="G709" s="2">
        <v>3494</v>
      </c>
      <c r="H709" s="2">
        <v>7800</v>
      </c>
    </row>
    <row r="710" spans="1:8" x14ac:dyDescent="0.3">
      <c r="A710" t="s">
        <v>922</v>
      </c>
      <c r="B710" t="s">
        <v>388</v>
      </c>
      <c r="C710" t="s">
        <v>389</v>
      </c>
      <c r="D710" t="s">
        <v>410</v>
      </c>
      <c r="E710" t="s">
        <v>411</v>
      </c>
      <c r="F710" t="str">
        <f>IFERROR(INDEX(Aux!E:E,MATCH(Dados!E710,Aux!D:D,0)),INDEX(Aux!K:K,MATCH(Dados!B710,Aux!I:I,0)))</f>
        <v>Centro esquerda</v>
      </c>
      <c r="G710" s="2">
        <v>3467</v>
      </c>
      <c r="H710" s="2">
        <v>0</v>
      </c>
    </row>
    <row r="711" spans="1:8" x14ac:dyDescent="0.3">
      <c r="A711" t="s">
        <v>938</v>
      </c>
      <c r="B711" t="s">
        <v>690</v>
      </c>
      <c r="C711" t="s">
        <v>691</v>
      </c>
      <c r="D711" t="s">
        <v>218</v>
      </c>
      <c r="E711" t="s">
        <v>219</v>
      </c>
      <c r="F711" t="str">
        <f>IFERROR(INDEX(Aux!E:E,MATCH(Dados!E711,Aux!D:D,0)),INDEX(Aux!K:K,MATCH(Dados!B711,Aux!I:I,0)))</f>
        <v>Centro</v>
      </c>
      <c r="G711" s="2">
        <v>3428</v>
      </c>
      <c r="H711" s="2">
        <v>0</v>
      </c>
    </row>
    <row r="712" spans="1:8" x14ac:dyDescent="0.3">
      <c r="A712" t="s">
        <v>936</v>
      </c>
      <c r="B712" t="s">
        <v>540</v>
      </c>
      <c r="C712" t="s">
        <v>541</v>
      </c>
      <c r="D712" t="s">
        <v>100</v>
      </c>
      <c r="E712" t="s">
        <v>540</v>
      </c>
      <c r="F712" t="str">
        <f>IFERROR(INDEX(Aux!E:E,MATCH(Dados!E712,Aux!D:D,0)),INDEX(Aux!K:K,MATCH(Dados!B712,Aux!I:I,0)))</f>
        <v>Esquerda</v>
      </c>
      <c r="G712" s="2">
        <v>3428</v>
      </c>
      <c r="H712" s="2">
        <v>965</v>
      </c>
    </row>
    <row r="713" spans="1:8" x14ac:dyDescent="0.3">
      <c r="A713" t="s">
        <v>934</v>
      </c>
      <c r="B713" t="s">
        <v>899</v>
      </c>
      <c r="C713" t="s">
        <v>900</v>
      </c>
      <c r="D713" t="s">
        <v>100</v>
      </c>
      <c r="E713" t="s">
        <v>899</v>
      </c>
      <c r="F713" t="str">
        <f>IFERROR(INDEX(Aux!E:E,MATCH(Dados!E713,Aux!D:D,0)),INDEX(Aux!K:K,MATCH(Dados!B713,Aux!I:I,0)))</f>
        <v>Direita</v>
      </c>
      <c r="G713" s="2">
        <v>3413</v>
      </c>
      <c r="H713" s="2">
        <v>0</v>
      </c>
    </row>
    <row r="714" spans="1:8" x14ac:dyDescent="0.3">
      <c r="A714" t="s">
        <v>921</v>
      </c>
      <c r="B714" t="s">
        <v>899</v>
      </c>
      <c r="C714" t="s">
        <v>900</v>
      </c>
      <c r="D714" t="s">
        <v>442</v>
      </c>
      <c r="E714" t="s">
        <v>443</v>
      </c>
      <c r="F714" t="str">
        <f>IFERROR(INDEX(Aux!E:E,MATCH(Dados!E714,Aux!D:D,0)),INDEX(Aux!K:K,MATCH(Dados!B714,Aux!I:I,0)))</f>
        <v>Direita</v>
      </c>
      <c r="G714" s="2">
        <v>3337</v>
      </c>
      <c r="H714" s="2">
        <v>0</v>
      </c>
    </row>
    <row r="715" spans="1:8" x14ac:dyDescent="0.3">
      <c r="A715" t="s">
        <v>936</v>
      </c>
      <c r="B715" t="s">
        <v>770</v>
      </c>
      <c r="C715" t="s">
        <v>771</v>
      </c>
      <c r="D715" t="s">
        <v>780</v>
      </c>
      <c r="E715" t="s">
        <v>777</v>
      </c>
      <c r="F715" t="str">
        <f>IFERROR(INDEX(Aux!E:E,MATCH(Dados!E715,Aux!D:D,0)),INDEX(Aux!K:K,MATCH(Dados!B715,Aux!I:I,0)))</f>
        <v>Direita</v>
      </c>
      <c r="G715" s="2">
        <v>3336</v>
      </c>
      <c r="H715" s="2">
        <v>0</v>
      </c>
    </row>
    <row r="716" spans="1:8" x14ac:dyDescent="0.3">
      <c r="A716" t="s">
        <v>938</v>
      </c>
      <c r="B716" t="s">
        <v>388</v>
      </c>
      <c r="C716" t="s">
        <v>389</v>
      </c>
      <c r="D716" t="s">
        <v>10</v>
      </c>
      <c r="E716" t="s">
        <v>11</v>
      </c>
      <c r="F716" t="str">
        <f>IFERROR(INDEX(Aux!E:E,MATCH(Dados!E716,Aux!D:D,0)),INDEX(Aux!K:K,MATCH(Dados!B716,Aux!I:I,0)))</f>
        <v>Indefinido</v>
      </c>
      <c r="G716" s="2">
        <v>3293</v>
      </c>
      <c r="H716" s="2">
        <v>0</v>
      </c>
    </row>
    <row r="717" spans="1:8" x14ac:dyDescent="0.3">
      <c r="A717" t="s">
        <v>925</v>
      </c>
      <c r="B717" t="s">
        <v>484</v>
      </c>
      <c r="C717" t="s">
        <v>485</v>
      </c>
      <c r="D717" t="s">
        <v>100</v>
      </c>
      <c r="E717" t="s">
        <v>484</v>
      </c>
      <c r="F717" t="str">
        <f>IFERROR(INDEX(Aux!E:E,MATCH(Dados!E717,Aux!D:D,0)),INDEX(Aux!K:K,MATCH(Dados!B717,Aux!I:I,0)))</f>
        <v>Esquerda</v>
      </c>
      <c r="G717" s="2">
        <v>3281</v>
      </c>
      <c r="H717" s="2">
        <v>982</v>
      </c>
    </row>
    <row r="718" spans="1:8" x14ac:dyDescent="0.3">
      <c r="A718" t="s">
        <v>938</v>
      </c>
      <c r="B718" t="s">
        <v>787</v>
      </c>
      <c r="C718" t="s">
        <v>788</v>
      </c>
      <c r="D718" t="s">
        <v>500</v>
      </c>
      <c r="E718" t="s">
        <v>501</v>
      </c>
      <c r="F718" t="str">
        <f>IFERROR(INDEX(Aux!E:E,MATCH(Dados!E718,Aux!D:D,0)),INDEX(Aux!K:K,MATCH(Dados!B718,Aux!I:I,0)))</f>
        <v>Direita</v>
      </c>
      <c r="G718" s="2">
        <v>3207</v>
      </c>
      <c r="H718" s="2">
        <v>0</v>
      </c>
    </row>
    <row r="719" spans="1:8" x14ac:dyDescent="0.3">
      <c r="A719" t="s">
        <v>924</v>
      </c>
      <c r="B719" t="s">
        <v>282</v>
      </c>
      <c r="C719" t="s">
        <v>283</v>
      </c>
      <c r="D719" t="s">
        <v>247</v>
      </c>
      <c r="E719" t="s">
        <v>248</v>
      </c>
      <c r="F719" t="str">
        <f>IFERROR(INDEX(Aux!E:E,MATCH(Dados!E719,Aux!D:D,0)),INDEX(Aux!K:K,MATCH(Dados!B719,Aux!I:I,0)))</f>
        <v>Centro</v>
      </c>
      <c r="G719" s="2">
        <v>3117</v>
      </c>
      <c r="H719" s="2">
        <v>0</v>
      </c>
    </row>
    <row r="720" spans="1:8" x14ac:dyDescent="0.3">
      <c r="A720" t="s">
        <v>932</v>
      </c>
      <c r="B720" t="s">
        <v>282</v>
      </c>
      <c r="C720" t="s">
        <v>283</v>
      </c>
      <c r="D720" t="s">
        <v>332</v>
      </c>
      <c r="E720" t="s">
        <v>333</v>
      </c>
      <c r="F720" t="str">
        <f>IFERROR(INDEX(Aux!E:E,MATCH(Dados!E720,Aux!D:D,0)),INDEX(Aux!K:K,MATCH(Dados!B720,Aux!I:I,0)))</f>
        <v>Direita</v>
      </c>
      <c r="G720" s="2">
        <v>3080</v>
      </c>
      <c r="H720" s="2">
        <v>0</v>
      </c>
    </row>
    <row r="721" spans="1:8" x14ac:dyDescent="0.3">
      <c r="A721" t="s">
        <v>925</v>
      </c>
      <c r="B721" t="s">
        <v>899</v>
      </c>
      <c r="C721" t="s">
        <v>900</v>
      </c>
      <c r="D721" t="s">
        <v>139</v>
      </c>
      <c r="E721" t="s">
        <v>140</v>
      </c>
      <c r="F721" t="str">
        <f>IFERROR(INDEX(Aux!E:E,MATCH(Dados!E721,Aux!D:D,0)),INDEX(Aux!K:K,MATCH(Dados!B721,Aux!I:I,0)))</f>
        <v>Direita</v>
      </c>
      <c r="G721" s="2">
        <v>3015</v>
      </c>
      <c r="H721" s="2">
        <v>0</v>
      </c>
    </row>
    <row r="722" spans="1:8" x14ac:dyDescent="0.3">
      <c r="A722" t="s">
        <v>935</v>
      </c>
      <c r="B722" t="s">
        <v>690</v>
      </c>
      <c r="C722" t="s">
        <v>691</v>
      </c>
      <c r="D722" t="s">
        <v>470</v>
      </c>
      <c r="E722" t="s">
        <v>471</v>
      </c>
      <c r="F722" t="str">
        <f>IFERROR(INDEX(Aux!E:E,MATCH(Dados!E722,Aux!D:D,0)),INDEX(Aux!K:K,MATCH(Dados!B722,Aux!I:I,0)))</f>
        <v>Centro esquerda</v>
      </c>
      <c r="G722" s="2">
        <v>3002</v>
      </c>
      <c r="H722" s="2">
        <v>0</v>
      </c>
    </row>
    <row r="723" spans="1:8" x14ac:dyDescent="0.3">
      <c r="A723" t="s">
        <v>928</v>
      </c>
      <c r="B723" t="s">
        <v>737</v>
      </c>
      <c r="C723" t="s">
        <v>738</v>
      </c>
      <c r="D723" t="s">
        <v>100</v>
      </c>
      <c r="E723" t="s">
        <v>737</v>
      </c>
      <c r="F723" t="str">
        <f>IFERROR(INDEX(Aux!E:E,MATCH(Dados!E723,Aux!D:D,0)),INDEX(Aux!K:K,MATCH(Dados!B723,Aux!I:I,0)))</f>
        <v>Direita</v>
      </c>
      <c r="G723" s="2">
        <v>2992</v>
      </c>
      <c r="H723" s="2">
        <v>0</v>
      </c>
    </row>
    <row r="724" spans="1:8" x14ac:dyDescent="0.3">
      <c r="A724" t="s">
        <v>915</v>
      </c>
      <c r="B724" t="s">
        <v>873</v>
      </c>
      <c r="C724" t="s">
        <v>874</v>
      </c>
      <c r="D724" t="s">
        <v>555</v>
      </c>
      <c r="E724" t="s">
        <v>543</v>
      </c>
      <c r="F724" t="str">
        <f>IFERROR(INDEX(Aux!E:E,MATCH(Dados!E724,Aux!D:D,0)),INDEX(Aux!K:K,MATCH(Dados!B724,Aux!I:I,0)))</f>
        <v>Esquerda</v>
      </c>
      <c r="G724" s="2">
        <v>2928</v>
      </c>
      <c r="H724" s="2">
        <v>1977</v>
      </c>
    </row>
    <row r="725" spans="1:8" x14ac:dyDescent="0.3">
      <c r="A725" t="s">
        <v>930</v>
      </c>
      <c r="B725" t="s">
        <v>664</v>
      </c>
      <c r="C725" t="s">
        <v>665</v>
      </c>
      <c r="D725" t="s">
        <v>100</v>
      </c>
      <c r="E725" t="s">
        <v>664</v>
      </c>
      <c r="F725" t="str">
        <f>IFERROR(INDEX(Aux!E:E,MATCH(Dados!E725,Aux!D:D,0)),INDEX(Aux!K:K,MATCH(Dados!B725,Aux!I:I,0)))</f>
        <v>Centro direita</v>
      </c>
      <c r="G725" s="2">
        <v>2902</v>
      </c>
      <c r="H725" s="2">
        <v>0</v>
      </c>
    </row>
    <row r="726" spans="1:8" x14ac:dyDescent="0.3">
      <c r="A726" t="s">
        <v>931</v>
      </c>
      <c r="B726" t="s">
        <v>783</v>
      </c>
      <c r="C726" t="s">
        <v>784</v>
      </c>
      <c r="D726" t="s">
        <v>666</v>
      </c>
      <c r="E726" t="s">
        <v>667</v>
      </c>
      <c r="F726" t="str">
        <f>IFERROR(INDEX(Aux!E:E,MATCH(Dados!E726,Aux!D:D,0)),INDEX(Aux!K:K,MATCH(Dados!B726,Aux!I:I,0)))</f>
        <v>Centro</v>
      </c>
      <c r="G726" s="2">
        <v>2788</v>
      </c>
      <c r="H726" s="2">
        <v>0</v>
      </c>
    </row>
    <row r="727" spans="1:8" x14ac:dyDescent="0.3">
      <c r="A727" t="s">
        <v>935</v>
      </c>
      <c r="B727" t="s">
        <v>770</v>
      </c>
      <c r="C727" t="s">
        <v>771</v>
      </c>
      <c r="D727" t="s">
        <v>64</v>
      </c>
      <c r="E727" t="s">
        <v>65</v>
      </c>
      <c r="F727" t="str">
        <f>IFERROR(INDEX(Aux!E:E,MATCH(Dados!E727,Aux!D:D,0)),INDEX(Aux!K:K,MATCH(Dados!B727,Aux!I:I,0)))</f>
        <v>Esquerda</v>
      </c>
      <c r="G727" s="2">
        <v>2735</v>
      </c>
      <c r="H727" s="2">
        <v>0</v>
      </c>
    </row>
    <row r="728" spans="1:8" x14ac:dyDescent="0.3">
      <c r="A728" t="s">
        <v>939</v>
      </c>
      <c r="B728" t="s">
        <v>899</v>
      </c>
      <c r="C728" t="s">
        <v>900</v>
      </c>
      <c r="D728" t="s">
        <v>416</v>
      </c>
      <c r="E728" t="s">
        <v>417</v>
      </c>
      <c r="F728" t="str">
        <f>IFERROR(INDEX(Aux!E:E,MATCH(Dados!E728,Aux!D:D,0)),INDEX(Aux!K:K,MATCH(Dados!B728,Aux!I:I,0)))</f>
        <v>Direita</v>
      </c>
      <c r="G728" s="2">
        <v>2699</v>
      </c>
      <c r="H728" s="2">
        <v>0</v>
      </c>
    </row>
    <row r="729" spans="1:8" x14ac:dyDescent="0.3">
      <c r="A729" t="s">
        <v>936</v>
      </c>
      <c r="B729" t="s">
        <v>899</v>
      </c>
      <c r="C729" t="s">
        <v>900</v>
      </c>
      <c r="D729" t="s">
        <v>780</v>
      </c>
      <c r="E729" t="s">
        <v>777</v>
      </c>
      <c r="F729" t="str">
        <f>IFERROR(INDEX(Aux!E:E,MATCH(Dados!E729,Aux!D:D,0)),INDEX(Aux!K:K,MATCH(Dados!B729,Aux!I:I,0)))</f>
        <v>Direita</v>
      </c>
      <c r="G729" s="2">
        <v>2578</v>
      </c>
      <c r="H729" s="2">
        <v>0</v>
      </c>
    </row>
    <row r="730" spans="1:8" x14ac:dyDescent="0.3">
      <c r="A730" t="s">
        <v>931</v>
      </c>
      <c r="B730" t="s">
        <v>737</v>
      </c>
      <c r="C730" t="s">
        <v>738</v>
      </c>
      <c r="D730" t="s">
        <v>143</v>
      </c>
      <c r="E730" t="s">
        <v>144</v>
      </c>
      <c r="F730" t="str">
        <f>IFERROR(INDEX(Aux!E:E,MATCH(Dados!E730,Aux!D:D,0)),INDEX(Aux!K:K,MATCH(Dados!B730,Aux!I:I,0)))</f>
        <v>Direita</v>
      </c>
      <c r="G730" s="2">
        <v>2533</v>
      </c>
      <c r="H730" s="2">
        <v>3532</v>
      </c>
    </row>
    <row r="731" spans="1:8" x14ac:dyDescent="0.3">
      <c r="A731" t="s">
        <v>929</v>
      </c>
      <c r="B731" t="s">
        <v>737</v>
      </c>
      <c r="C731" t="s">
        <v>738</v>
      </c>
      <c r="D731" t="s">
        <v>100</v>
      </c>
      <c r="E731" t="s">
        <v>737</v>
      </c>
      <c r="F731" t="str">
        <f>IFERROR(INDEX(Aux!E:E,MATCH(Dados!E731,Aux!D:D,0)),INDEX(Aux!K:K,MATCH(Dados!B731,Aux!I:I,0)))</f>
        <v>Direita</v>
      </c>
      <c r="G731" s="2">
        <v>2511</v>
      </c>
      <c r="H731" s="2">
        <v>776</v>
      </c>
    </row>
    <row r="732" spans="1:8" x14ac:dyDescent="0.3">
      <c r="A732" t="s">
        <v>927</v>
      </c>
      <c r="B732" t="s">
        <v>871</v>
      </c>
      <c r="C732" t="s">
        <v>872</v>
      </c>
      <c r="D732" t="s">
        <v>151</v>
      </c>
      <c r="E732" t="s">
        <v>152</v>
      </c>
      <c r="F732" t="str">
        <f>IFERROR(INDEX(Aux!E:E,MATCH(Dados!E732,Aux!D:D,0)),INDEX(Aux!K:K,MATCH(Dados!B732,Aux!I:I,0)))</f>
        <v>Esquerda</v>
      </c>
      <c r="G732" s="2">
        <v>2496</v>
      </c>
      <c r="H732" s="2">
        <v>1426</v>
      </c>
    </row>
    <row r="733" spans="1:8" x14ac:dyDescent="0.3">
      <c r="A733" t="s">
        <v>921</v>
      </c>
      <c r="B733" t="s">
        <v>873</v>
      </c>
      <c r="C733" t="s">
        <v>874</v>
      </c>
      <c r="D733" t="s">
        <v>552</v>
      </c>
      <c r="E733" t="s">
        <v>543</v>
      </c>
      <c r="F733" t="str">
        <f>IFERROR(INDEX(Aux!E:E,MATCH(Dados!E733,Aux!D:D,0)),INDEX(Aux!K:K,MATCH(Dados!B733,Aux!I:I,0)))</f>
        <v>Esquerda</v>
      </c>
      <c r="G733" s="2">
        <v>2476</v>
      </c>
      <c r="H733" s="2">
        <v>394</v>
      </c>
    </row>
    <row r="734" spans="1:8" x14ac:dyDescent="0.3">
      <c r="A734" t="s">
        <v>933</v>
      </c>
      <c r="B734" t="s">
        <v>282</v>
      </c>
      <c r="C734" t="s">
        <v>283</v>
      </c>
      <c r="D734" t="s">
        <v>286</v>
      </c>
      <c r="E734" t="s">
        <v>287</v>
      </c>
      <c r="F734" t="str">
        <f>IFERROR(INDEX(Aux!E:E,MATCH(Dados!E734,Aux!D:D,0)),INDEX(Aux!K:K,MATCH(Dados!B734,Aux!I:I,0)))</f>
        <v>Direita</v>
      </c>
      <c r="G734" s="2">
        <v>2454</v>
      </c>
      <c r="H734" s="2">
        <v>8324</v>
      </c>
    </row>
    <row r="735" spans="1:8" x14ac:dyDescent="0.3">
      <c r="A735" t="s">
        <v>924</v>
      </c>
      <c r="B735" t="s">
        <v>873</v>
      </c>
      <c r="C735" t="s">
        <v>874</v>
      </c>
      <c r="D735" t="s">
        <v>545</v>
      </c>
      <c r="E735" t="s">
        <v>543</v>
      </c>
      <c r="F735" t="str">
        <f>IFERROR(INDEX(Aux!E:E,MATCH(Dados!E735,Aux!D:D,0)),INDEX(Aux!K:K,MATCH(Dados!B735,Aux!I:I,0)))</f>
        <v>Esquerda</v>
      </c>
      <c r="G735" s="2">
        <v>2443</v>
      </c>
      <c r="H735" s="2">
        <v>501</v>
      </c>
    </row>
    <row r="736" spans="1:8" x14ac:dyDescent="0.3">
      <c r="A736" t="s">
        <v>936</v>
      </c>
      <c r="B736" t="s">
        <v>282</v>
      </c>
      <c r="C736" t="s">
        <v>283</v>
      </c>
      <c r="D736" t="s">
        <v>60</v>
      </c>
      <c r="E736" t="s">
        <v>61</v>
      </c>
      <c r="F736" t="str">
        <f>IFERROR(INDEX(Aux!E:E,MATCH(Dados!E736,Aux!D:D,0)),INDEX(Aux!K:K,MATCH(Dados!B736,Aux!I:I,0)))</f>
        <v>Centro</v>
      </c>
      <c r="G736" s="2">
        <v>2385</v>
      </c>
      <c r="H736" s="2">
        <v>0</v>
      </c>
    </row>
    <row r="737" spans="1:8" x14ac:dyDescent="0.3">
      <c r="A737" t="s">
        <v>940</v>
      </c>
      <c r="B737" t="s">
        <v>664</v>
      </c>
      <c r="C737" t="s">
        <v>665</v>
      </c>
      <c r="D737" t="s">
        <v>504</v>
      </c>
      <c r="E737" t="s">
        <v>505</v>
      </c>
      <c r="F737" t="str">
        <f>IFERROR(INDEX(Aux!E:E,MATCH(Dados!E737,Aux!D:D,0)),INDEX(Aux!K:K,MATCH(Dados!B737,Aux!I:I,0)))</f>
        <v>Centro</v>
      </c>
      <c r="G737" s="2">
        <v>2381</v>
      </c>
      <c r="H737" s="2">
        <v>0</v>
      </c>
    </row>
    <row r="738" spans="1:8" x14ac:dyDescent="0.3">
      <c r="A738" t="s">
        <v>923</v>
      </c>
      <c r="B738" t="s">
        <v>899</v>
      </c>
      <c r="C738" t="s">
        <v>900</v>
      </c>
      <c r="D738" t="s">
        <v>296</v>
      </c>
      <c r="E738" t="s">
        <v>297</v>
      </c>
      <c r="F738" t="str">
        <f>IFERROR(INDEX(Aux!E:E,MATCH(Dados!E738,Aux!D:D,0)),INDEX(Aux!K:K,MATCH(Dados!B738,Aux!I:I,0)))</f>
        <v>Centro</v>
      </c>
      <c r="G738" s="2">
        <v>2364</v>
      </c>
      <c r="H738" s="2">
        <v>0</v>
      </c>
    </row>
    <row r="739" spans="1:8" x14ac:dyDescent="0.3">
      <c r="A739" t="s">
        <v>928</v>
      </c>
      <c r="B739" t="s">
        <v>864</v>
      </c>
      <c r="C739" t="s">
        <v>865</v>
      </c>
      <c r="D739" t="s">
        <v>478</v>
      </c>
      <c r="E739" t="s">
        <v>479</v>
      </c>
      <c r="F739" t="str">
        <f>IFERROR(INDEX(Aux!E:E,MATCH(Dados!E739,Aux!D:D,0)),INDEX(Aux!K:K,MATCH(Dados!B739,Aux!I:I,0)))</f>
        <v>Centro</v>
      </c>
      <c r="G739" s="2">
        <v>2325</v>
      </c>
      <c r="H739" s="2">
        <v>13622</v>
      </c>
    </row>
    <row r="740" spans="1:8" x14ac:dyDescent="0.3">
      <c r="A740" t="s">
        <v>922</v>
      </c>
      <c r="B740" t="s">
        <v>899</v>
      </c>
      <c r="C740" t="s">
        <v>900</v>
      </c>
      <c r="D740" t="s">
        <v>100</v>
      </c>
      <c r="E740" t="s">
        <v>899</v>
      </c>
      <c r="F740" t="str">
        <f>IFERROR(INDEX(Aux!E:E,MATCH(Dados!E740,Aux!D:D,0)),INDEX(Aux!K:K,MATCH(Dados!B740,Aux!I:I,0)))</f>
        <v>Direita</v>
      </c>
      <c r="G740" s="2">
        <v>2271</v>
      </c>
      <c r="H740" s="2">
        <v>5770</v>
      </c>
    </row>
    <row r="741" spans="1:8" x14ac:dyDescent="0.3">
      <c r="A741" t="s">
        <v>940</v>
      </c>
      <c r="B741" t="s">
        <v>783</v>
      </c>
      <c r="C741" t="s">
        <v>784</v>
      </c>
      <c r="D741" t="s">
        <v>306</v>
      </c>
      <c r="E741" t="s">
        <v>307</v>
      </c>
      <c r="F741" t="str">
        <f>IFERROR(INDEX(Aux!E:E,MATCH(Dados!E741,Aux!D:D,0)),INDEX(Aux!K:K,MATCH(Dados!B741,Aux!I:I,0)))</f>
        <v>Direita</v>
      </c>
      <c r="G741" s="2">
        <v>2268</v>
      </c>
      <c r="H741" s="2">
        <v>0</v>
      </c>
    </row>
    <row r="742" spans="1:8" x14ac:dyDescent="0.3">
      <c r="A742" t="s">
        <v>922</v>
      </c>
      <c r="B742" t="s">
        <v>787</v>
      </c>
      <c r="C742" t="s">
        <v>788</v>
      </c>
      <c r="D742" t="s">
        <v>781</v>
      </c>
      <c r="E742" t="s">
        <v>782</v>
      </c>
      <c r="F742" t="str">
        <f>IFERROR(INDEX(Aux!E:E,MATCH(Dados!E742,Aux!D:D,0)),INDEX(Aux!K:K,MATCH(Dados!B742,Aux!I:I,0)))</f>
        <v>Centro direita</v>
      </c>
      <c r="G742" s="2">
        <v>2263</v>
      </c>
      <c r="H742" s="2">
        <v>0</v>
      </c>
    </row>
    <row r="743" spans="1:8" x14ac:dyDescent="0.3">
      <c r="A743" t="s">
        <v>935</v>
      </c>
      <c r="B743" t="s">
        <v>787</v>
      </c>
      <c r="C743" t="s">
        <v>788</v>
      </c>
      <c r="D743" t="s">
        <v>631</v>
      </c>
      <c r="E743" t="s">
        <v>632</v>
      </c>
      <c r="F743" t="str">
        <f>IFERROR(INDEX(Aux!E:E,MATCH(Dados!E743,Aux!D:D,0)),INDEX(Aux!K:K,MATCH(Dados!B743,Aux!I:I,0)))</f>
        <v>Direita</v>
      </c>
      <c r="G743" s="2">
        <v>2088</v>
      </c>
      <c r="H743" s="2">
        <v>0</v>
      </c>
    </row>
    <row r="744" spans="1:8" x14ac:dyDescent="0.3">
      <c r="A744" t="s">
        <v>937</v>
      </c>
      <c r="B744" t="s">
        <v>770</v>
      </c>
      <c r="C744" t="s">
        <v>771</v>
      </c>
      <c r="D744" t="s">
        <v>178</v>
      </c>
      <c r="E744" t="s">
        <v>179</v>
      </c>
      <c r="F744" t="str">
        <f>IFERROR(INDEX(Aux!E:E,MATCH(Dados!E744,Aux!D:D,0)),INDEX(Aux!K:K,MATCH(Dados!B744,Aux!I:I,0)))</f>
        <v>Esquerda</v>
      </c>
      <c r="G744" s="2">
        <v>2078</v>
      </c>
      <c r="H744" s="2">
        <v>0</v>
      </c>
    </row>
    <row r="745" spans="1:8" x14ac:dyDescent="0.3">
      <c r="A745" t="s">
        <v>932</v>
      </c>
      <c r="B745" t="s">
        <v>388</v>
      </c>
      <c r="C745" t="s">
        <v>389</v>
      </c>
      <c r="D745" t="s">
        <v>436</v>
      </c>
      <c r="E745" t="s">
        <v>437</v>
      </c>
      <c r="F745" t="str">
        <f>IFERROR(INDEX(Aux!E:E,MATCH(Dados!E745,Aux!D:D,0)),INDEX(Aux!K:K,MATCH(Dados!B745,Aux!I:I,0)))</f>
        <v>Centro direita</v>
      </c>
      <c r="G745" s="2">
        <v>2074</v>
      </c>
      <c r="H745" s="2">
        <v>0</v>
      </c>
    </row>
    <row r="746" spans="1:8" x14ac:dyDescent="0.3">
      <c r="A746" t="s">
        <v>921</v>
      </c>
      <c r="B746" t="s">
        <v>484</v>
      </c>
      <c r="C746" t="s">
        <v>485</v>
      </c>
      <c r="D746" t="s">
        <v>100</v>
      </c>
      <c r="E746" t="s">
        <v>484</v>
      </c>
      <c r="F746" t="str">
        <f>IFERROR(INDEX(Aux!E:E,MATCH(Dados!E746,Aux!D:D,0)),INDEX(Aux!K:K,MATCH(Dados!B746,Aux!I:I,0)))</f>
        <v>Esquerda</v>
      </c>
      <c r="G746" s="2">
        <v>2059</v>
      </c>
      <c r="H746" s="2">
        <v>1208</v>
      </c>
    </row>
    <row r="747" spans="1:8" x14ac:dyDescent="0.3">
      <c r="A747" t="s">
        <v>930</v>
      </c>
      <c r="B747" t="s">
        <v>388</v>
      </c>
      <c r="C747" t="s">
        <v>389</v>
      </c>
      <c r="D747" t="s">
        <v>392</v>
      </c>
      <c r="E747" t="s">
        <v>393</v>
      </c>
      <c r="F747" t="str">
        <f>IFERROR(INDEX(Aux!E:E,MATCH(Dados!E747,Aux!D:D,0)),INDEX(Aux!K:K,MATCH(Dados!B747,Aux!I:I,0)))</f>
        <v>Centro direita</v>
      </c>
      <c r="G747" s="2">
        <v>2017</v>
      </c>
      <c r="H747" s="2">
        <v>0</v>
      </c>
    </row>
    <row r="748" spans="1:8" x14ac:dyDescent="0.3">
      <c r="A748" t="s">
        <v>924</v>
      </c>
      <c r="B748" t="s">
        <v>899</v>
      </c>
      <c r="C748" t="s">
        <v>900</v>
      </c>
      <c r="D748" t="s">
        <v>100</v>
      </c>
      <c r="E748" t="s">
        <v>899</v>
      </c>
      <c r="F748" t="str">
        <f>IFERROR(INDEX(Aux!E:E,MATCH(Dados!E748,Aux!D:D,0)),INDEX(Aux!K:K,MATCH(Dados!B748,Aux!I:I,0)))</f>
        <v>Direita</v>
      </c>
      <c r="G748" s="2">
        <v>2005</v>
      </c>
      <c r="H748" s="2">
        <v>4192</v>
      </c>
    </row>
    <row r="749" spans="1:8" x14ac:dyDescent="0.3">
      <c r="A749" t="s">
        <v>935</v>
      </c>
      <c r="B749" t="s">
        <v>783</v>
      </c>
      <c r="C749" t="s">
        <v>784</v>
      </c>
      <c r="D749" t="s">
        <v>470</v>
      </c>
      <c r="E749" t="s">
        <v>471</v>
      </c>
      <c r="F749" t="str">
        <f>IFERROR(INDEX(Aux!E:E,MATCH(Dados!E749,Aux!D:D,0)),INDEX(Aux!K:K,MATCH(Dados!B749,Aux!I:I,0)))</f>
        <v>Centro esquerda</v>
      </c>
      <c r="G749" s="2">
        <v>1990</v>
      </c>
      <c r="H749" s="2">
        <v>0</v>
      </c>
    </row>
    <row r="750" spans="1:8" x14ac:dyDescent="0.3">
      <c r="A750" t="s">
        <v>940</v>
      </c>
      <c r="B750" t="s">
        <v>902</v>
      </c>
      <c r="C750" t="s">
        <v>902</v>
      </c>
      <c r="D750" t="s">
        <v>504</v>
      </c>
      <c r="E750" t="s">
        <v>505</v>
      </c>
      <c r="F750" t="str">
        <f>IFERROR(INDEX(Aux!E:E,MATCH(Dados!E750,Aux!D:D,0)),INDEX(Aux!K:K,MATCH(Dados!B750,Aux!I:I,0)))</f>
        <v>Centro</v>
      </c>
      <c r="G750" s="2">
        <v>1921</v>
      </c>
      <c r="H750" s="2">
        <v>0</v>
      </c>
    </row>
    <row r="751" spans="1:8" x14ac:dyDescent="0.3">
      <c r="A751" t="s">
        <v>939</v>
      </c>
      <c r="B751" t="s">
        <v>334</v>
      </c>
      <c r="C751" t="s">
        <v>335</v>
      </c>
      <c r="D751" t="s">
        <v>359</v>
      </c>
      <c r="E751" t="s">
        <v>360</v>
      </c>
      <c r="F751" t="str">
        <f>IFERROR(INDEX(Aux!E:E,MATCH(Dados!E751,Aux!D:D,0)),INDEX(Aux!K:K,MATCH(Dados!B751,Aux!I:I,0)))</f>
        <v>Centro esquerda</v>
      </c>
      <c r="G751" s="2">
        <v>1907</v>
      </c>
      <c r="H751" s="2">
        <v>10824</v>
      </c>
    </row>
    <row r="752" spans="1:8" x14ac:dyDescent="0.3">
      <c r="A752" t="s">
        <v>928</v>
      </c>
      <c r="B752" t="s">
        <v>388</v>
      </c>
      <c r="C752" t="s">
        <v>389</v>
      </c>
      <c r="D752" t="s">
        <v>383</v>
      </c>
      <c r="E752" t="s">
        <v>384</v>
      </c>
      <c r="F752" t="str">
        <f>IFERROR(INDEX(Aux!E:E,MATCH(Dados!E752,Aux!D:D,0)),INDEX(Aux!K:K,MATCH(Dados!B752,Aux!I:I,0)))</f>
        <v>Centro</v>
      </c>
      <c r="G752" s="2">
        <v>1868</v>
      </c>
      <c r="H752" s="2">
        <v>0</v>
      </c>
    </row>
    <row r="753" spans="1:8" x14ac:dyDescent="0.3">
      <c r="A753" t="s">
        <v>940</v>
      </c>
      <c r="B753" t="s">
        <v>864</v>
      </c>
      <c r="C753" t="s">
        <v>865</v>
      </c>
      <c r="D753" t="s">
        <v>778</v>
      </c>
      <c r="E753" t="s">
        <v>779</v>
      </c>
      <c r="F753" t="str">
        <f>IFERROR(INDEX(Aux!E:E,MATCH(Dados!E753,Aux!D:D,0)),INDEX(Aux!K:K,MATCH(Dados!B753,Aux!I:I,0)))</f>
        <v>Indefinido</v>
      </c>
      <c r="G753" s="2">
        <v>1851</v>
      </c>
      <c r="H753" s="2">
        <v>0</v>
      </c>
    </row>
    <row r="754" spans="1:8" x14ac:dyDescent="0.3">
      <c r="A754" t="s">
        <v>936</v>
      </c>
      <c r="B754" t="s">
        <v>817</v>
      </c>
      <c r="C754" t="s">
        <v>818</v>
      </c>
      <c r="D754" t="s">
        <v>749</v>
      </c>
      <c r="E754" t="s">
        <v>750</v>
      </c>
      <c r="F754" t="str">
        <f>IFERROR(INDEX(Aux!E:E,MATCH(Dados!E754,Aux!D:D,0)),INDEX(Aux!K:K,MATCH(Dados!B754,Aux!I:I,0)))</f>
        <v>Centro esquerda</v>
      </c>
      <c r="G754" s="2">
        <v>1754</v>
      </c>
      <c r="H754" s="2">
        <v>0</v>
      </c>
    </row>
    <row r="755" spans="1:8" x14ac:dyDescent="0.3">
      <c r="A755" t="s">
        <v>940</v>
      </c>
      <c r="B755" t="s">
        <v>799</v>
      </c>
      <c r="C755" t="s">
        <v>800</v>
      </c>
      <c r="D755" t="s">
        <v>161</v>
      </c>
      <c r="E755" t="s">
        <v>162</v>
      </c>
      <c r="F755" t="str">
        <f>IFERROR(INDEX(Aux!E:E,MATCH(Dados!E755,Aux!D:D,0)),INDEX(Aux!K:K,MATCH(Dados!B755,Aux!I:I,0)))</f>
        <v>Esquerda</v>
      </c>
      <c r="G755" s="2">
        <v>1718</v>
      </c>
      <c r="H755" s="2">
        <v>0</v>
      </c>
    </row>
    <row r="756" spans="1:8" x14ac:dyDescent="0.3">
      <c r="A756" t="s">
        <v>935</v>
      </c>
      <c r="B756" t="s">
        <v>899</v>
      </c>
      <c r="C756" t="s">
        <v>900</v>
      </c>
      <c r="D756" t="s">
        <v>631</v>
      </c>
      <c r="E756" t="s">
        <v>632</v>
      </c>
      <c r="F756" t="str">
        <f>IFERROR(INDEX(Aux!E:E,MATCH(Dados!E756,Aux!D:D,0)),INDEX(Aux!K:K,MATCH(Dados!B756,Aux!I:I,0)))</f>
        <v>Direita</v>
      </c>
      <c r="G756" s="2">
        <v>1711</v>
      </c>
      <c r="H756" s="2">
        <v>0</v>
      </c>
    </row>
    <row r="757" spans="1:8" x14ac:dyDescent="0.3">
      <c r="A757" t="s">
        <v>920</v>
      </c>
      <c r="B757" t="s">
        <v>388</v>
      </c>
      <c r="C757" t="s">
        <v>389</v>
      </c>
      <c r="D757" t="s">
        <v>390</v>
      </c>
      <c r="E757" t="s">
        <v>391</v>
      </c>
      <c r="F757" t="str">
        <f>IFERROR(INDEX(Aux!E:E,MATCH(Dados!E757,Aux!D:D,0)),INDEX(Aux!K:K,MATCH(Dados!B757,Aux!I:I,0)))</f>
        <v>Esquerda</v>
      </c>
      <c r="G757" s="2">
        <v>1681</v>
      </c>
      <c r="H757" s="2">
        <v>886</v>
      </c>
    </row>
    <row r="758" spans="1:8" x14ac:dyDescent="0.3">
      <c r="A758" t="s">
        <v>935</v>
      </c>
      <c r="B758" t="s">
        <v>737</v>
      </c>
      <c r="C758" t="s">
        <v>738</v>
      </c>
      <c r="D758" t="s">
        <v>373</v>
      </c>
      <c r="E758" t="s">
        <v>374</v>
      </c>
      <c r="F758" t="str">
        <f>IFERROR(INDEX(Aux!E:E,MATCH(Dados!E758,Aux!D:D,0)),INDEX(Aux!K:K,MATCH(Dados!B758,Aux!I:I,0)))</f>
        <v>Indefinido</v>
      </c>
      <c r="G758" s="2">
        <v>1623</v>
      </c>
      <c r="H758" s="2">
        <v>2014</v>
      </c>
    </row>
    <row r="759" spans="1:8" x14ac:dyDescent="0.3">
      <c r="A759" t="s">
        <v>928</v>
      </c>
      <c r="B759" t="s">
        <v>282</v>
      </c>
      <c r="C759" t="s">
        <v>283</v>
      </c>
      <c r="D759" t="s">
        <v>172</v>
      </c>
      <c r="E759" t="s">
        <v>173</v>
      </c>
      <c r="F759" t="str">
        <f>IFERROR(INDEX(Aux!E:E,MATCH(Dados!E759,Aux!D:D,0)),INDEX(Aux!K:K,MATCH(Dados!B759,Aux!I:I,0)))</f>
        <v>Centro</v>
      </c>
      <c r="G759" s="2">
        <v>1597</v>
      </c>
      <c r="H759" s="2">
        <v>0</v>
      </c>
    </row>
    <row r="760" spans="1:8" x14ac:dyDescent="0.3">
      <c r="A760" t="s">
        <v>936</v>
      </c>
      <c r="B760" t="s">
        <v>664</v>
      </c>
      <c r="C760" t="s">
        <v>665</v>
      </c>
      <c r="D760" t="s">
        <v>587</v>
      </c>
      <c r="E760" t="s">
        <v>588</v>
      </c>
      <c r="F760" t="str">
        <f>IFERROR(INDEX(Aux!E:E,MATCH(Dados!E760,Aux!D:D,0)),INDEX(Aux!K:K,MATCH(Dados!B760,Aux!I:I,0)))</f>
        <v>Centro</v>
      </c>
      <c r="G760" s="2">
        <v>1579</v>
      </c>
      <c r="H760" s="2">
        <v>5170</v>
      </c>
    </row>
    <row r="761" spans="1:8" x14ac:dyDescent="0.3">
      <c r="A761" t="s">
        <v>927</v>
      </c>
      <c r="B761" t="s">
        <v>866</v>
      </c>
      <c r="C761" t="s">
        <v>867</v>
      </c>
      <c r="D761" t="s">
        <v>36</v>
      </c>
      <c r="E761" t="s">
        <v>37</v>
      </c>
      <c r="F761" t="str">
        <f>IFERROR(INDEX(Aux!E:E,MATCH(Dados!E761,Aux!D:D,0)),INDEX(Aux!K:K,MATCH(Dados!B761,Aux!I:I,0)))</f>
        <v>Centro</v>
      </c>
      <c r="G761" s="2">
        <v>1547</v>
      </c>
      <c r="H761" s="2">
        <v>0</v>
      </c>
    </row>
    <row r="762" spans="1:8" x14ac:dyDescent="0.3">
      <c r="A762" t="s">
        <v>936</v>
      </c>
      <c r="B762" t="s">
        <v>902</v>
      </c>
      <c r="C762" t="s">
        <v>902</v>
      </c>
      <c r="D762" t="s">
        <v>60</v>
      </c>
      <c r="E762" t="s">
        <v>61</v>
      </c>
      <c r="F762" t="str">
        <f>IFERROR(INDEX(Aux!E:E,MATCH(Dados!E762,Aux!D:D,0)),INDEX(Aux!K:K,MATCH(Dados!B762,Aux!I:I,0)))</f>
        <v>Centro</v>
      </c>
      <c r="G762" s="2">
        <v>1524</v>
      </c>
      <c r="H762" s="2">
        <v>0</v>
      </c>
    </row>
    <row r="763" spans="1:8" x14ac:dyDescent="0.3">
      <c r="A763" t="s">
        <v>932</v>
      </c>
      <c r="B763" t="s">
        <v>871</v>
      </c>
      <c r="C763" t="s">
        <v>872</v>
      </c>
      <c r="D763" t="s">
        <v>386</v>
      </c>
      <c r="E763" t="s">
        <v>387</v>
      </c>
      <c r="F763" t="str">
        <f>IFERROR(INDEX(Aux!E:E,MATCH(Dados!E763,Aux!D:D,0)),INDEX(Aux!K:K,MATCH(Dados!B763,Aux!I:I,0)))</f>
        <v>Esquerda</v>
      </c>
      <c r="G763" s="2">
        <v>1490</v>
      </c>
      <c r="H763" s="2">
        <v>0</v>
      </c>
    </row>
    <row r="764" spans="1:8" x14ac:dyDescent="0.3">
      <c r="A764" t="s">
        <v>939</v>
      </c>
      <c r="B764" t="s">
        <v>866</v>
      </c>
      <c r="C764" t="s">
        <v>867</v>
      </c>
      <c r="D764" t="s">
        <v>359</v>
      </c>
      <c r="E764" t="s">
        <v>360</v>
      </c>
      <c r="F764" t="str">
        <f>IFERROR(INDEX(Aux!E:E,MATCH(Dados!E764,Aux!D:D,0)),INDEX(Aux!K:K,MATCH(Dados!B764,Aux!I:I,0)))</f>
        <v>Centro esquerda</v>
      </c>
      <c r="G764" s="2">
        <v>1460</v>
      </c>
      <c r="H764" s="2">
        <v>336</v>
      </c>
    </row>
    <row r="765" spans="1:8" x14ac:dyDescent="0.3">
      <c r="A765" t="s">
        <v>927</v>
      </c>
      <c r="B765" t="s">
        <v>440</v>
      </c>
      <c r="C765" t="s">
        <v>441</v>
      </c>
      <c r="D765" t="s">
        <v>36</v>
      </c>
      <c r="E765" t="s">
        <v>37</v>
      </c>
      <c r="F765" t="str">
        <f>IFERROR(INDEX(Aux!E:E,MATCH(Dados!E765,Aux!D:D,0)),INDEX(Aux!K:K,MATCH(Dados!B765,Aux!I:I,0)))</f>
        <v>Centro</v>
      </c>
      <c r="G765" s="2">
        <v>1426</v>
      </c>
      <c r="H765" s="2">
        <v>0</v>
      </c>
    </row>
    <row r="766" spans="1:8" x14ac:dyDescent="0.3">
      <c r="A766" t="s">
        <v>922</v>
      </c>
      <c r="B766" t="s">
        <v>484</v>
      </c>
      <c r="C766" t="s">
        <v>485</v>
      </c>
      <c r="D766" t="s">
        <v>100</v>
      </c>
      <c r="E766" t="s">
        <v>484</v>
      </c>
      <c r="F766" t="str">
        <f>IFERROR(INDEX(Aux!E:E,MATCH(Dados!E766,Aux!D:D,0)),INDEX(Aux!K:K,MATCH(Dados!B766,Aux!I:I,0)))</f>
        <v>Esquerda</v>
      </c>
      <c r="G766" s="2">
        <v>1395</v>
      </c>
      <c r="H766" s="2">
        <v>1792</v>
      </c>
    </row>
    <row r="767" spans="1:8" x14ac:dyDescent="0.3">
      <c r="A767" t="s">
        <v>936</v>
      </c>
      <c r="B767" t="s">
        <v>783</v>
      </c>
      <c r="C767" t="s">
        <v>784</v>
      </c>
      <c r="D767" t="s">
        <v>780</v>
      </c>
      <c r="E767" t="s">
        <v>777</v>
      </c>
      <c r="F767" t="str">
        <f>IFERROR(INDEX(Aux!E:E,MATCH(Dados!E767,Aux!D:D,0)),INDEX(Aux!K:K,MATCH(Dados!B767,Aux!I:I,0)))</f>
        <v>Direita</v>
      </c>
      <c r="G767" s="2">
        <v>1342</v>
      </c>
      <c r="H767" s="2">
        <v>0</v>
      </c>
    </row>
    <row r="768" spans="1:8" x14ac:dyDescent="0.3">
      <c r="A768" t="s">
        <v>938</v>
      </c>
      <c r="B768" t="s">
        <v>783</v>
      </c>
      <c r="C768" t="s">
        <v>784</v>
      </c>
      <c r="D768" t="s">
        <v>218</v>
      </c>
      <c r="E768" t="s">
        <v>219</v>
      </c>
      <c r="F768" t="str">
        <f>IFERROR(INDEX(Aux!E:E,MATCH(Dados!E768,Aux!D:D,0)),INDEX(Aux!K:K,MATCH(Dados!B768,Aux!I:I,0)))</f>
        <v>Centro</v>
      </c>
      <c r="G768" s="2">
        <v>1292</v>
      </c>
      <c r="H768" s="2">
        <v>0</v>
      </c>
    </row>
    <row r="769" spans="1:8" x14ac:dyDescent="0.3">
      <c r="A769" t="s">
        <v>927</v>
      </c>
      <c r="B769" t="s">
        <v>783</v>
      </c>
      <c r="C769" t="s">
        <v>784</v>
      </c>
      <c r="D769" t="s">
        <v>100</v>
      </c>
      <c r="E769" t="s">
        <v>783</v>
      </c>
      <c r="F769" t="str">
        <f>IFERROR(INDEX(Aux!E:E,MATCH(Dados!E769,Aux!D:D,0)),INDEX(Aux!K:K,MATCH(Dados!B769,Aux!I:I,0)))</f>
        <v>Esquerda</v>
      </c>
      <c r="G769" s="2">
        <v>1283</v>
      </c>
      <c r="H769" s="2">
        <v>0</v>
      </c>
    </row>
    <row r="770" spans="1:8" x14ac:dyDescent="0.3">
      <c r="A770" t="s">
        <v>925</v>
      </c>
      <c r="B770" t="s">
        <v>873</v>
      </c>
      <c r="C770" t="s">
        <v>874</v>
      </c>
      <c r="D770" t="s">
        <v>557</v>
      </c>
      <c r="E770" t="s">
        <v>543</v>
      </c>
      <c r="F770" t="str">
        <f>IFERROR(INDEX(Aux!E:E,MATCH(Dados!E770,Aux!D:D,0)),INDEX(Aux!K:K,MATCH(Dados!B770,Aux!I:I,0)))</f>
        <v>Esquerda</v>
      </c>
      <c r="G770" s="2">
        <v>1278</v>
      </c>
      <c r="H770" s="2">
        <v>337</v>
      </c>
    </row>
    <row r="771" spans="1:8" x14ac:dyDescent="0.3">
      <c r="A771" t="s">
        <v>926</v>
      </c>
      <c r="B771" t="s">
        <v>873</v>
      </c>
      <c r="C771" t="s">
        <v>874</v>
      </c>
      <c r="D771" t="s">
        <v>100</v>
      </c>
      <c r="E771" t="s">
        <v>873</v>
      </c>
      <c r="F771" t="str">
        <f>IFERROR(INDEX(Aux!E:E,MATCH(Dados!E771,Aux!D:D,0)),INDEX(Aux!K:K,MATCH(Dados!B771,Aux!I:I,0)))</f>
        <v>Esquerda</v>
      </c>
      <c r="G771" s="2">
        <v>1276</v>
      </c>
      <c r="H771" s="2">
        <v>496</v>
      </c>
    </row>
    <row r="772" spans="1:8" x14ac:dyDescent="0.3">
      <c r="A772" t="s">
        <v>920</v>
      </c>
      <c r="B772" t="s">
        <v>484</v>
      </c>
      <c r="C772" t="s">
        <v>485</v>
      </c>
      <c r="D772" t="s">
        <v>100</v>
      </c>
      <c r="E772" t="s">
        <v>484</v>
      </c>
      <c r="F772" t="str">
        <f>IFERROR(INDEX(Aux!E:E,MATCH(Dados!E772,Aux!D:D,0)),INDEX(Aux!K:K,MATCH(Dados!B772,Aux!I:I,0)))</f>
        <v>Esquerda</v>
      </c>
      <c r="G772" s="2">
        <v>1247</v>
      </c>
      <c r="H772" s="2">
        <v>948</v>
      </c>
    </row>
    <row r="773" spans="1:8" x14ac:dyDescent="0.3">
      <c r="A773" t="s">
        <v>937</v>
      </c>
      <c r="B773" t="s">
        <v>388</v>
      </c>
      <c r="C773" t="s">
        <v>389</v>
      </c>
      <c r="D773" t="s">
        <v>74</v>
      </c>
      <c r="E773" t="s">
        <v>75</v>
      </c>
      <c r="F773" t="str">
        <f>IFERROR(INDEX(Aux!E:E,MATCH(Dados!E773,Aux!D:D,0)),INDEX(Aux!K:K,MATCH(Dados!B773,Aux!I:I,0)))</f>
        <v>Centro esquerda</v>
      </c>
      <c r="G773" s="2">
        <v>1236</v>
      </c>
      <c r="H773" s="2">
        <v>0</v>
      </c>
    </row>
    <row r="774" spans="1:8" x14ac:dyDescent="0.3">
      <c r="A774" t="s">
        <v>917</v>
      </c>
      <c r="B774" t="s">
        <v>869</v>
      </c>
      <c r="C774" t="s">
        <v>870</v>
      </c>
      <c r="D774" t="s">
        <v>100</v>
      </c>
      <c r="E774" t="s">
        <v>869</v>
      </c>
      <c r="F774" t="str">
        <f>IFERROR(INDEX(Aux!E:E,MATCH(Dados!E774,Aux!D:D,0)),INDEX(Aux!K:K,MATCH(Dados!B774,Aux!I:I,0)))</f>
        <v>Esquerda</v>
      </c>
      <c r="G774" s="2">
        <v>1196</v>
      </c>
      <c r="H774" s="2">
        <v>213</v>
      </c>
    </row>
    <row r="775" spans="1:8" x14ac:dyDescent="0.3">
      <c r="A775" t="s">
        <v>937</v>
      </c>
      <c r="B775" t="s">
        <v>664</v>
      </c>
      <c r="C775" t="s">
        <v>665</v>
      </c>
      <c r="D775" t="s">
        <v>178</v>
      </c>
      <c r="E775" t="s">
        <v>179</v>
      </c>
      <c r="F775" t="str">
        <f>IFERROR(INDEX(Aux!E:E,MATCH(Dados!E775,Aux!D:D,0)),INDEX(Aux!K:K,MATCH(Dados!B775,Aux!I:I,0)))</f>
        <v>Esquerda</v>
      </c>
      <c r="G775" s="2">
        <v>1146</v>
      </c>
      <c r="H775" s="2">
        <v>0</v>
      </c>
    </row>
    <row r="776" spans="1:8" x14ac:dyDescent="0.3">
      <c r="A776" t="s">
        <v>937</v>
      </c>
      <c r="B776" t="s">
        <v>540</v>
      </c>
      <c r="C776" t="s">
        <v>541</v>
      </c>
      <c r="D776" t="s">
        <v>550</v>
      </c>
      <c r="E776" t="s">
        <v>551</v>
      </c>
      <c r="F776" t="str">
        <f>IFERROR(INDEX(Aux!E:E,MATCH(Dados!E776,Aux!D:D,0)),INDEX(Aux!K:K,MATCH(Dados!B776,Aux!I:I,0)))</f>
        <v>Esquerda</v>
      </c>
      <c r="G776" s="2">
        <v>1111</v>
      </c>
      <c r="H776" s="2">
        <v>733</v>
      </c>
    </row>
    <row r="777" spans="1:8" x14ac:dyDescent="0.3">
      <c r="A777" t="s">
        <v>932</v>
      </c>
      <c r="B777" t="s">
        <v>783</v>
      </c>
      <c r="C777" t="s">
        <v>784</v>
      </c>
      <c r="D777" t="s">
        <v>174</v>
      </c>
      <c r="E777" t="s">
        <v>156</v>
      </c>
      <c r="F777" t="str">
        <f>IFERROR(INDEX(Aux!E:E,MATCH(Dados!E777,Aux!D:D,0)),INDEX(Aux!K:K,MATCH(Dados!B777,Aux!I:I,0)))</f>
        <v>Esquerda</v>
      </c>
      <c r="G777" s="2">
        <v>1074</v>
      </c>
      <c r="H777" s="2">
        <v>1978</v>
      </c>
    </row>
    <row r="778" spans="1:8" x14ac:dyDescent="0.3">
      <c r="A778" t="s">
        <v>921</v>
      </c>
      <c r="B778" t="s">
        <v>787</v>
      </c>
      <c r="C778" t="s">
        <v>788</v>
      </c>
      <c r="D778" t="s">
        <v>263</v>
      </c>
      <c r="E778" t="s">
        <v>264</v>
      </c>
      <c r="F778" t="str">
        <f>IFERROR(INDEX(Aux!E:E,MATCH(Dados!E778,Aux!D:D,0)),INDEX(Aux!K:K,MATCH(Dados!B778,Aux!I:I,0)))</f>
        <v>Centro direita</v>
      </c>
      <c r="G778" s="2">
        <v>1064</v>
      </c>
      <c r="H778" s="2">
        <v>0</v>
      </c>
    </row>
    <row r="779" spans="1:8" x14ac:dyDescent="0.3">
      <c r="A779" t="s">
        <v>929</v>
      </c>
      <c r="B779" t="s">
        <v>866</v>
      </c>
      <c r="C779" t="s">
        <v>867</v>
      </c>
      <c r="D779" t="s">
        <v>100</v>
      </c>
      <c r="E779" t="s">
        <v>866</v>
      </c>
      <c r="F779" t="str">
        <f>IFERROR(INDEX(Aux!E:E,MATCH(Dados!E779,Aux!D:D,0)),INDEX(Aux!K:K,MATCH(Dados!B779,Aux!I:I,0)))</f>
        <v>Centro esquerda</v>
      </c>
      <c r="G779" s="2">
        <v>1031</v>
      </c>
      <c r="H779" s="2">
        <v>0</v>
      </c>
    </row>
    <row r="780" spans="1:8" x14ac:dyDescent="0.3">
      <c r="A780" t="s">
        <v>927</v>
      </c>
      <c r="B780" t="s">
        <v>388</v>
      </c>
      <c r="C780" t="s">
        <v>389</v>
      </c>
      <c r="D780" t="s">
        <v>406</v>
      </c>
      <c r="E780" t="s">
        <v>407</v>
      </c>
      <c r="F780" t="str">
        <f>IFERROR(INDEX(Aux!E:E,MATCH(Dados!E780,Aux!D:D,0)),INDEX(Aux!K:K,MATCH(Dados!B780,Aux!I:I,0)))</f>
        <v>Direita</v>
      </c>
      <c r="G780" s="2">
        <v>1015</v>
      </c>
      <c r="H780" s="2">
        <v>0</v>
      </c>
    </row>
    <row r="781" spans="1:8" x14ac:dyDescent="0.3">
      <c r="A781" t="s">
        <v>929</v>
      </c>
      <c r="B781" t="s">
        <v>484</v>
      </c>
      <c r="C781" t="s">
        <v>485</v>
      </c>
      <c r="D781" t="s">
        <v>100</v>
      </c>
      <c r="E781" t="s">
        <v>484</v>
      </c>
      <c r="F781" t="str">
        <f>IFERROR(INDEX(Aux!E:E,MATCH(Dados!E781,Aux!D:D,0)),INDEX(Aux!K:K,MATCH(Dados!B781,Aux!I:I,0)))</f>
        <v>Esquerda</v>
      </c>
      <c r="G781" s="2">
        <v>979</v>
      </c>
      <c r="H781" s="2">
        <v>2829</v>
      </c>
    </row>
    <row r="782" spans="1:8" x14ac:dyDescent="0.3">
      <c r="A782" t="s">
        <v>935</v>
      </c>
      <c r="B782" t="s">
        <v>484</v>
      </c>
      <c r="C782" t="s">
        <v>485</v>
      </c>
      <c r="D782" t="s">
        <v>100</v>
      </c>
      <c r="E782" t="s">
        <v>484</v>
      </c>
      <c r="F782" t="str">
        <f>IFERROR(INDEX(Aux!E:E,MATCH(Dados!E782,Aux!D:D,0)),INDEX(Aux!K:K,MATCH(Dados!B782,Aux!I:I,0)))</f>
        <v>Esquerda</v>
      </c>
      <c r="G782" s="2">
        <v>970</v>
      </c>
      <c r="H782" s="2">
        <v>481</v>
      </c>
    </row>
    <row r="783" spans="1:8" x14ac:dyDescent="0.3">
      <c r="A783" t="s">
        <v>940</v>
      </c>
      <c r="B783" t="s">
        <v>817</v>
      </c>
      <c r="C783" t="s">
        <v>818</v>
      </c>
      <c r="D783" t="s">
        <v>760</v>
      </c>
      <c r="E783" t="s">
        <v>761</v>
      </c>
      <c r="F783" t="str">
        <f>IFERROR(INDEX(Aux!E:E,MATCH(Dados!E783,Aux!D:D,0)),INDEX(Aux!K:K,MATCH(Dados!B783,Aux!I:I,0)))</f>
        <v>Esquerda</v>
      </c>
      <c r="G783" s="2">
        <v>842</v>
      </c>
      <c r="H783" s="2">
        <v>0</v>
      </c>
    </row>
    <row r="784" spans="1:8" x14ac:dyDescent="0.3">
      <c r="A784" t="s">
        <v>922</v>
      </c>
      <c r="B784" t="s">
        <v>873</v>
      </c>
      <c r="C784" t="s">
        <v>874</v>
      </c>
      <c r="D784" t="s">
        <v>553</v>
      </c>
      <c r="E784" t="s">
        <v>543</v>
      </c>
      <c r="F784" t="str">
        <f>IFERROR(INDEX(Aux!E:E,MATCH(Dados!E784,Aux!D:D,0)),INDEX(Aux!K:K,MATCH(Dados!B784,Aux!I:I,0)))</f>
        <v>Esquerda</v>
      </c>
      <c r="G784" s="2">
        <v>834</v>
      </c>
      <c r="H784" s="2">
        <v>2587</v>
      </c>
    </row>
    <row r="785" spans="1:8" x14ac:dyDescent="0.3">
      <c r="A785" t="s">
        <v>921</v>
      </c>
      <c r="B785" t="s">
        <v>737</v>
      </c>
      <c r="C785" t="s">
        <v>738</v>
      </c>
      <c r="D785" t="s">
        <v>743</v>
      </c>
      <c r="E785" t="s">
        <v>744</v>
      </c>
      <c r="F785" t="str">
        <f>IFERROR(INDEX(Aux!E:E,MATCH(Dados!E785,Aux!D:D,0)),INDEX(Aux!K:K,MATCH(Dados!B785,Aux!I:I,0)))</f>
        <v>Centro</v>
      </c>
      <c r="G785" s="2">
        <v>819</v>
      </c>
      <c r="H785" s="2">
        <v>0</v>
      </c>
    </row>
    <row r="786" spans="1:8" x14ac:dyDescent="0.3">
      <c r="A786" t="s">
        <v>924</v>
      </c>
      <c r="B786" t="s">
        <v>484</v>
      </c>
      <c r="C786" t="s">
        <v>485</v>
      </c>
      <c r="D786" t="s">
        <v>100</v>
      </c>
      <c r="E786" t="s">
        <v>484</v>
      </c>
      <c r="F786" t="str">
        <f>IFERROR(INDEX(Aux!E:E,MATCH(Dados!E786,Aux!D:D,0)),INDEX(Aux!K:K,MATCH(Dados!B786,Aux!I:I,0)))</f>
        <v>Esquerda</v>
      </c>
      <c r="G786" s="2">
        <v>790</v>
      </c>
      <c r="H786" s="2">
        <v>528</v>
      </c>
    </row>
    <row r="787" spans="1:8" x14ac:dyDescent="0.3">
      <c r="A787" t="s">
        <v>919</v>
      </c>
      <c r="B787" t="s">
        <v>864</v>
      </c>
      <c r="C787" t="s">
        <v>865</v>
      </c>
      <c r="D787" t="s">
        <v>463</v>
      </c>
      <c r="E787" t="s">
        <v>460</v>
      </c>
      <c r="F787" t="str">
        <f>IFERROR(INDEX(Aux!E:E,MATCH(Dados!E787,Aux!D:D,0)),INDEX(Aux!K:K,MATCH(Dados!B787,Aux!I:I,0)))</f>
        <v>Indefinido</v>
      </c>
      <c r="G787" s="2">
        <v>778</v>
      </c>
      <c r="H787" s="2">
        <v>0</v>
      </c>
    </row>
    <row r="788" spans="1:8" x14ac:dyDescent="0.3">
      <c r="A788" t="s">
        <v>934</v>
      </c>
      <c r="B788" t="s">
        <v>484</v>
      </c>
      <c r="C788" t="s">
        <v>485</v>
      </c>
      <c r="D788" t="s">
        <v>100</v>
      </c>
      <c r="E788" t="s">
        <v>484</v>
      </c>
      <c r="F788" t="str">
        <f>IFERROR(INDEX(Aux!E:E,MATCH(Dados!E788,Aux!D:D,0)),INDEX(Aux!K:K,MATCH(Dados!B788,Aux!I:I,0)))</f>
        <v>Esquerda</v>
      </c>
      <c r="G788" s="2">
        <v>734</v>
      </c>
      <c r="H788" s="2">
        <v>0</v>
      </c>
    </row>
    <row r="789" spans="1:8" x14ac:dyDescent="0.3">
      <c r="A789" t="s">
        <v>938</v>
      </c>
      <c r="B789" t="s">
        <v>899</v>
      </c>
      <c r="C789" t="s">
        <v>900</v>
      </c>
      <c r="D789" t="s">
        <v>500</v>
      </c>
      <c r="E789" t="s">
        <v>501</v>
      </c>
      <c r="F789" t="str">
        <f>IFERROR(INDEX(Aux!E:E,MATCH(Dados!E789,Aux!D:D,0)),INDEX(Aux!K:K,MATCH(Dados!B789,Aux!I:I,0)))</f>
        <v>Direita</v>
      </c>
      <c r="G789" s="2">
        <v>679</v>
      </c>
      <c r="H789" s="2">
        <v>0</v>
      </c>
    </row>
    <row r="790" spans="1:8" x14ac:dyDescent="0.3">
      <c r="A790" t="s">
        <v>940</v>
      </c>
      <c r="B790" t="s">
        <v>873</v>
      </c>
      <c r="C790" t="s">
        <v>874</v>
      </c>
      <c r="D790" t="s">
        <v>486</v>
      </c>
      <c r="E790" t="s">
        <v>487</v>
      </c>
      <c r="F790" t="str">
        <f>IFERROR(INDEX(Aux!E:E,MATCH(Dados!E790,Aux!D:D,0)),INDEX(Aux!K:K,MATCH(Dados!B790,Aux!I:I,0)))</f>
        <v>Esquerda</v>
      </c>
      <c r="G790" s="2">
        <v>641</v>
      </c>
      <c r="H790" s="2">
        <v>866</v>
      </c>
    </row>
    <row r="791" spans="1:8" x14ac:dyDescent="0.3">
      <c r="A791" t="s">
        <v>918</v>
      </c>
      <c r="B791" t="s">
        <v>484</v>
      </c>
      <c r="C791" t="s">
        <v>485</v>
      </c>
      <c r="D791" t="s">
        <v>100</v>
      </c>
      <c r="E791" t="s">
        <v>484</v>
      </c>
      <c r="F791" t="str">
        <f>IFERROR(INDEX(Aux!E:E,MATCH(Dados!E791,Aux!D:D,0)),INDEX(Aux!K:K,MATCH(Dados!B791,Aux!I:I,0)))</f>
        <v>Esquerda</v>
      </c>
      <c r="G791" s="2">
        <v>633</v>
      </c>
      <c r="H791" s="2">
        <v>834</v>
      </c>
    </row>
    <row r="792" spans="1:8" x14ac:dyDescent="0.3">
      <c r="A792" t="s">
        <v>936</v>
      </c>
      <c r="B792" t="s">
        <v>864</v>
      </c>
      <c r="C792" t="s">
        <v>865</v>
      </c>
      <c r="D792" t="s">
        <v>587</v>
      </c>
      <c r="E792" t="s">
        <v>588</v>
      </c>
      <c r="F792" t="str">
        <f>IFERROR(INDEX(Aux!E:E,MATCH(Dados!E792,Aux!D:D,0)),INDEX(Aux!K:K,MATCH(Dados!B792,Aux!I:I,0)))</f>
        <v>Centro</v>
      </c>
      <c r="G792" s="2">
        <v>619</v>
      </c>
      <c r="H792" s="2">
        <v>4949</v>
      </c>
    </row>
    <row r="793" spans="1:8" x14ac:dyDescent="0.3">
      <c r="A793" t="s">
        <v>933</v>
      </c>
      <c r="B793" t="s">
        <v>783</v>
      </c>
      <c r="C793" t="s">
        <v>784</v>
      </c>
      <c r="D793" t="s">
        <v>286</v>
      </c>
      <c r="E793" t="s">
        <v>287</v>
      </c>
      <c r="F793" t="str">
        <f>IFERROR(INDEX(Aux!E:E,MATCH(Dados!E793,Aux!D:D,0)),INDEX(Aux!K:K,MATCH(Dados!B793,Aux!I:I,0)))</f>
        <v>Direita</v>
      </c>
      <c r="G793" s="2">
        <v>589</v>
      </c>
      <c r="H793" s="2">
        <v>34742</v>
      </c>
    </row>
    <row r="794" spans="1:8" x14ac:dyDescent="0.3">
      <c r="A794" t="s">
        <v>939</v>
      </c>
      <c r="B794" t="s">
        <v>484</v>
      </c>
      <c r="C794" t="s">
        <v>485</v>
      </c>
      <c r="D794" t="s">
        <v>100</v>
      </c>
      <c r="E794" t="s">
        <v>484</v>
      </c>
      <c r="F794" t="str">
        <f>IFERROR(INDEX(Aux!E:E,MATCH(Dados!E794,Aux!D:D,0)),INDEX(Aux!K:K,MATCH(Dados!B794,Aux!I:I,0)))</f>
        <v>Esquerda</v>
      </c>
      <c r="G794" s="2">
        <v>587</v>
      </c>
      <c r="H794" s="2">
        <v>679</v>
      </c>
    </row>
    <row r="795" spans="1:8" x14ac:dyDescent="0.3">
      <c r="A795" t="s">
        <v>937</v>
      </c>
      <c r="B795" t="s">
        <v>871</v>
      </c>
      <c r="C795" t="s">
        <v>872</v>
      </c>
      <c r="D795" t="s">
        <v>655</v>
      </c>
      <c r="E795" t="s">
        <v>656</v>
      </c>
      <c r="F795" t="str">
        <f>IFERROR(INDEX(Aux!E:E,MATCH(Dados!E795,Aux!D:D,0)),INDEX(Aux!K:K,MATCH(Dados!B795,Aux!I:I,0)))</f>
        <v>Esquerda</v>
      </c>
      <c r="G795" s="2">
        <v>553</v>
      </c>
      <c r="H795" s="2">
        <v>0</v>
      </c>
    </row>
    <row r="796" spans="1:8" x14ac:dyDescent="0.3">
      <c r="A796" t="s">
        <v>933</v>
      </c>
      <c r="B796" t="s">
        <v>334</v>
      </c>
      <c r="C796" t="s">
        <v>335</v>
      </c>
      <c r="D796" t="s">
        <v>347</v>
      </c>
      <c r="E796" t="s">
        <v>348</v>
      </c>
      <c r="F796" t="str">
        <f>IFERROR(INDEX(Aux!E:E,MATCH(Dados!E796,Aux!D:D,0)),INDEX(Aux!K:K,MATCH(Dados!B796,Aux!I:I,0)))</f>
        <v>Esquerda</v>
      </c>
      <c r="G796" s="2">
        <v>546</v>
      </c>
      <c r="H796" s="2">
        <v>0</v>
      </c>
    </row>
    <row r="797" spans="1:8" x14ac:dyDescent="0.3">
      <c r="A797" t="s">
        <v>936</v>
      </c>
      <c r="B797" t="s">
        <v>135</v>
      </c>
      <c r="C797" t="s">
        <v>136</v>
      </c>
      <c r="D797" t="s">
        <v>184</v>
      </c>
      <c r="E797" t="s">
        <v>185</v>
      </c>
      <c r="F797" t="str">
        <f>IFERROR(INDEX(Aux!E:E,MATCH(Dados!E797,Aux!D:D,0)),INDEX(Aux!K:K,MATCH(Dados!B797,Aux!I:I,0)))</f>
        <v>Esquerda</v>
      </c>
      <c r="G797" s="2">
        <v>523</v>
      </c>
      <c r="H797" s="2">
        <v>0</v>
      </c>
    </row>
    <row r="798" spans="1:8" x14ac:dyDescent="0.3">
      <c r="A798" t="s">
        <v>938</v>
      </c>
      <c r="B798" t="s">
        <v>902</v>
      </c>
      <c r="C798" t="s">
        <v>902</v>
      </c>
      <c r="D798" t="s">
        <v>100</v>
      </c>
      <c r="E798" t="s">
        <v>902</v>
      </c>
      <c r="F798" t="str">
        <f>IFERROR(INDEX(Aux!E:E,MATCH(Dados!E798,Aux!D:D,0)),INDEX(Aux!K:K,MATCH(Dados!B798,Aux!I:I,0)))</f>
        <v>Centro</v>
      </c>
      <c r="G798" s="2">
        <v>503</v>
      </c>
      <c r="H798" s="2">
        <v>0</v>
      </c>
    </row>
    <row r="799" spans="1:8" x14ac:dyDescent="0.3">
      <c r="A799" t="s">
        <v>925</v>
      </c>
      <c r="B799" t="s">
        <v>664</v>
      </c>
      <c r="C799" t="s">
        <v>665</v>
      </c>
      <c r="D799" t="s">
        <v>342</v>
      </c>
      <c r="E799" t="s">
        <v>341</v>
      </c>
      <c r="F799" t="str">
        <f>IFERROR(INDEX(Aux!E:E,MATCH(Dados!E799,Aux!D:D,0)),INDEX(Aux!K:K,MATCH(Dados!B799,Aux!I:I,0)))</f>
        <v>Centro</v>
      </c>
      <c r="G799" s="2">
        <v>500</v>
      </c>
      <c r="H799" s="2">
        <v>0</v>
      </c>
    </row>
    <row r="800" spans="1:8" x14ac:dyDescent="0.3">
      <c r="A800" t="s">
        <v>927</v>
      </c>
      <c r="B800" t="s">
        <v>899</v>
      </c>
      <c r="C800" t="s">
        <v>900</v>
      </c>
      <c r="D800" t="s">
        <v>406</v>
      </c>
      <c r="E800" t="s">
        <v>407</v>
      </c>
      <c r="F800" t="str">
        <f>IFERROR(INDEX(Aux!E:E,MATCH(Dados!E800,Aux!D:D,0)),INDEX(Aux!K:K,MATCH(Dados!B800,Aux!I:I,0)))</f>
        <v>Direita</v>
      </c>
      <c r="G800" s="2">
        <v>483</v>
      </c>
      <c r="H800" s="2">
        <v>0</v>
      </c>
    </row>
    <row r="801" spans="1:8" x14ac:dyDescent="0.3">
      <c r="A801" t="s">
        <v>940</v>
      </c>
      <c r="B801" t="s">
        <v>899</v>
      </c>
      <c r="C801" t="s">
        <v>900</v>
      </c>
      <c r="D801" t="s">
        <v>86</v>
      </c>
      <c r="E801" t="s">
        <v>87</v>
      </c>
      <c r="F801" t="str">
        <f>IFERROR(INDEX(Aux!E:E,MATCH(Dados!E801,Aux!D:D,0)),INDEX(Aux!K:K,MATCH(Dados!B801,Aux!I:I,0)))</f>
        <v>Direita</v>
      </c>
      <c r="G801" s="2">
        <v>473</v>
      </c>
      <c r="H801" s="2">
        <v>0</v>
      </c>
    </row>
    <row r="802" spans="1:8" x14ac:dyDescent="0.3">
      <c r="A802" t="s">
        <v>927</v>
      </c>
      <c r="B802" t="s">
        <v>737</v>
      </c>
      <c r="C802" t="s">
        <v>738</v>
      </c>
      <c r="D802" t="s">
        <v>406</v>
      </c>
      <c r="E802" t="s">
        <v>407</v>
      </c>
      <c r="F802" t="str">
        <f>IFERROR(INDEX(Aux!E:E,MATCH(Dados!E802,Aux!D:D,0)),INDEX(Aux!K:K,MATCH(Dados!B802,Aux!I:I,0)))</f>
        <v>Direita</v>
      </c>
      <c r="G802" s="2">
        <v>457</v>
      </c>
      <c r="H802" s="2">
        <v>0</v>
      </c>
    </row>
    <row r="803" spans="1:8" x14ac:dyDescent="0.3">
      <c r="A803" t="s">
        <v>931</v>
      </c>
      <c r="B803" t="s">
        <v>484</v>
      </c>
      <c r="C803" t="s">
        <v>485</v>
      </c>
      <c r="D803" t="s">
        <v>100</v>
      </c>
      <c r="E803" t="s">
        <v>484</v>
      </c>
      <c r="F803" t="str">
        <f>IFERROR(INDEX(Aux!E:E,MATCH(Dados!E803,Aux!D:D,0)),INDEX(Aux!K:K,MATCH(Dados!B803,Aux!I:I,0)))</f>
        <v>Esquerda</v>
      </c>
      <c r="G803" s="2">
        <v>436</v>
      </c>
      <c r="H803" s="2">
        <v>559</v>
      </c>
    </row>
    <row r="804" spans="1:8" x14ac:dyDescent="0.3">
      <c r="A804" t="s">
        <v>927</v>
      </c>
      <c r="B804" t="s">
        <v>864</v>
      </c>
      <c r="C804" t="s">
        <v>865</v>
      </c>
      <c r="D804" t="s">
        <v>304</v>
      </c>
      <c r="E804" t="s">
        <v>305</v>
      </c>
      <c r="F804" t="str">
        <f>IFERROR(INDEX(Aux!E:E,MATCH(Dados!E804,Aux!D:D,0)),INDEX(Aux!K:K,MATCH(Dados!B804,Aux!I:I,0)))</f>
        <v>Indefinido</v>
      </c>
      <c r="G804" s="2">
        <v>435</v>
      </c>
      <c r="H804" s="2">
        <v>0</v>
      </c>
    </row>
    <row r="805" spans="1:8" x14ac:dyDescent="0.3">
      <c r="A805" t="s">
        <v>933</v>
      </c>
      <c r="B805" t="s">
        <v>484</v>
      </c>
      <c r="C805" t="s">
        <v>485</v>
      </c>
      <c r="D805" t="s">
        <v>100</v>
      </c>
      <c r="E805" t="s">
        <v>484</v>
      </c>
      <c r="F805" t="str">
        <f>IFERROR(INDEX(Aux!E:E,MATCH(Dados!E805,Aux!D:D,0)),INDEX(Aux!K:K,MATCH(Dados!B805,Aux!I:I,0)))</f>
        <v>Esquerda</v>
      </c>
      <c r="G805" s="2">
        <v>428</v>
      </c>
      <c r="H805" s="2">
        <v>352</v>
      </c>
    </row>
    <row r="806" spans="1:8" x14ac:dyDescent="0.3">
      <c r="A806" t="s">
        <v>940</v>
      </c>
      <c r="B806" t="s">
        <v>540</v>
      </c>
      <c r="C806" t="s">
        <v>541</v>
      </c>
      <c r="D806" t="s">
        <v>486</v>
      </c>
      <c r="E806" t="s">
        <v>487</v>
      </c>
      <c r="F806" t="str">
        <f>IFERROR(INDEX(Aux!E:E,MATCH(Dados!E806,Aux!D:D,0)),INDEX(Aux!K:K,MATCH(Dados!B806,Aux!I:I,0)))</f>
        <v>Esquerda</v>
      </c>
      <c r="G806" s="2">
        <v>413</v>
      </c>
      <c r="H806" s="2">
        <v>828</v>
      </c>
    </row>
    <row r="807" spans="1:8" x14ac:dyDescent="0.3">
      <c r="A807" t="s">
        <v>930</v>
      </c>
      <c r="B807" t="s">
        <v>899</v>
      </c>
      <c r="C807" t="s">
        <v>900</v>
      </c>
      <c r="D807" t="s">
        <v>562</v>
      </c>
      <c r="E807" t="s">
        <v>563</v>
      </c>
      <c r="F807" t="str">
        <f>IFERROR(INDEX(Aux!E:E,MATCH(Dados!E807,Aux!D:D,0)),INDEX(Aux!K:K,MATCH(Dados!B807,Aux!I:I,0)))</f>
        <v>Direita</v>
      </c>
      <c r="G807" s="2">
        <v>409</v>
      </c>
      <c r="H807" s="2">
        <v>0</v>
      </c>
    </row>
    <row r="808" spans="1:8" x14ac:dyDescent="0.3">
      <c r="A808" t="s">
        <v>928</v>
      </c>
      <c r="B808" t="s">
        <v>866</v>
      </c>
      <c r="C808" t="s">
        <v>867</v>
      </c>
      <c r="D808" t="s">
        <v>172</v>
      </c>
      <c r="E808" t="s">
        <v>173</v>
      </c>
      <c r="F808" t="str">
        <f>IFERROR(INDEX(Aux!E:E,MATCH(Dados!E808,Aux!D:D,0)),INDEX(Aux!K:K,MATCH(Dados!B808,Aux!I:I,0)))</f>
        <v>Centro</v>
      </c>
      <c r="G808" s="2">
        <v>383</v>
      </c>
      <c r="H808" s="2">
        <v>0</v>
      </c>
    </row>
    <row r="809" spans="1:8" x14ac:dyDescent="0.3">
      <c r="A809" t="s">
        <v>926</v>
      </c>
      <c r="B809" t="s">
        <v>869</v>
      </c>
      <c r="C809" t="s">
        <v>870</v>
      </c>
      <c r="D809" t="s">
        <v>100</v>
      </c>
      <c r="E809" t="s">
        <v>869</v>
      </c>
      <c r="F809" t="str">
        <f>IFERROR(INDEX(Aux!E:E,MATCH(Dados!E809,Aux!D:D,0)),INDEX(Aux!K:K,MATCH(Dados!B809,Aux!I:I,0)))</f>
        <v>Esquerda</v>
      </c>
      <c r="G809" s="2">
        <v>328</v>
      </c>
      <c r="H809" s="2">
        <v>294</v>
      </c>
    </row>
    <row r="810" spans="1:8" x14ac:dyDescent="0.3">
      <c r="A810" t="s">
        <v>940</v>
      </c>
      <c r="B810" t="s">
        <v>488</v>
      </c>
      <c r="C810" t="s">
        <v>489</v>
      </c>
      <c r="D810" t="s">
        <v>504</v>
      </c>
      <c r="E810" t="s">
        <v>505</v>
      </c>
      <c r="F810" t="str">
        <f>IFERROR(INDEX(Aux!E:E,MATCH(Dados!E810,Aux!D:D,0)),INDEX(Aux!K:K,MATCH(Dados!B810,Aux!I:I,0)))</f>
        <v>Centro</v>
      </c>
      <c r="G810" s="2">
        <v>301</v>
      </c>
      <c r="H810" s="2">
        <v>0</v>
      </c>
    </row>
    <row r="811" spans="1:8" x14ac:dyDescent="0.3">
      <c r="A811" t="s">
        <v>937</v>
      </c>
      <c r="B811" t="s">
        <v>737</v>
      </c>
      <c r="C811" t="s">
        <v>738</v>
      </c>
      <c r="D811" t="s">
        <v>100</v>
      </c>
      <c r="E811" t="s">
        <v>737</v>
      </c>
      <c r="F811" t="str">
        <f>IFERROR(INDEX(Aux!E:E,MATCH(Dados!E811,Aux!D:D,0)),INDEX(Aux!K:K,MATCH(Dados!B811,Aux!I:I,0)))</f>
        <v>Direita</v>
      </c>
      <c r="G811" s="2">
        <v>265</v>
      </c>
      <c r="H811" s="2">
        <v>0</v>
      </c>
    </row>
    <row r="812" spans="1:8" x14ac:dyDescent="0.3">
      <c r="A812" t="s">
        <v>938</v>
      </c>
      <c r="B812" t="s">
        <v>737</v>
      </c>
      <c r="C812" t="s">
        <v>738</v>
      </c>
      <c r="D812" t="s">
        <v>100</v>
      </c>
      <c r="E812" t="s">
        <v>737</v>
      </c>
      <c r="F812" t="str">
        <f>IFERROR(INDEX(Aux!E:E,MATCH(Dados!E812,Aux!D:D,0)),INDEX(Aux!K:K,MATCH(Dados!B812,Aux!I:I,0)))</f>
        <v>Direita</v>
      </c>
      <c r="G812" s="2">
        <v>256</v>
      </c>
      <c r="H812" s="2">
        <v>0</v>
      </c>
    </row>
    <row r="813" spans="1:8" x14ac:dyDescent="0.3">
      <c r="A813" t="s">
        <v>937</v>
      </c>
      <c r="B813" t="s">
        <v>484</v>
      </c>
      <c r="C813" t="s">
        <v>485</v>
      </c>
      <c r="D813" t="s">
        <v>100</v>
      </c>
      <c r="E813" t="s">
        <v>484</v>
      </c>
      <c r="F813" t="str">
        <f>IFERROR(INDEX(Aux!E:E,MATCH(Dados!E813,Aux!D:D,0)),INDEX(Aux!K:K,MATCH(Dados!B813,Aux!I:I,0)))</f>
        <v>Esquerda</v>
      </c>
      <c r="G813" s="2">
        <v>251</v>
      </c>
      <c r="H813" s="2">
        <v>140</v>
      </c>
    </row>
    <row r="814" spans="1:8" x14ac:dyDescent="0.3">
      <c r="A814" t="s">
        <v>935</v>
      </c>
      <c r="B814" t="s">
        <v>873</v>
      </c>
      <c r="C814" t="s">
        <v>874</v>
      </c>
      <c r="D814" t="s">
        <v>100</v>
      </c>
      <c r="E814" t="s">
        <v>873</v>
      </c>
      <c r="F814" t="str">
        <f>IFERROR(INDEX(Aux!E:E,MATCH(Dados!E814,Aux!D:D,0)),INDEX(Aux!K:K,MATCH(Dados!B814,Aux!I:I,0)))</f>
        <v>Esquerda</v>
      </c>
      <c r="G814" s="2">
        <v>250</v>
      </c>
      <c r="H814" s="2">
        <v>0</v>
      </c>
    </row>
    <row r="815" spans="1:8" x14ac:dyDescent="0.3">
      <c r="A815" t="s">
        <v>923</v>
      </c>
      <c r="B815" t="s">
        <v>873</v>
      </c>
      <c r="C815" t="s">
        <v>874</v>
      </c>
      <c r="D815" t="s">
        <v>546</v>
      </c>
      <c r="E815" t="s">
        <v>547</v>
      </c>
      <c r="F815" t="str">
        <f>IFERROR(INDEX(Aux!E:E,MATCH(Dados!E815,Aux!D:D,0)),INDEX(Aux!K:K,MATCH(Dados!B815,Aux!I:I,0)))</f>
        <v>Esquerda</v>
      </c>
      <c r="G815" s="2">
        <v>224</v>
      </c>
      <c r="H815" s="2">
        <v>0</v>
      </c>
    </row>
    <row r="816" spans="1:8" x14ac:dyDescent="0.3">
      <c r="A816" t="s">
        <v>936</v>
      </c>
      <c r="B816" t="s">
        <v>206</v>
      </c>
      <c r="C816" t="s">
        <v>207</v>
      </c>
      <c r="D816" t="s">
        <v>280</v>
      </c>
      <c r="E816" t="s">
        <v>281</v>
      </c>
      <c r="F816" t="str">
        <f>IFERROR(INDEX(Aux!E:E,MATCH(Dados!E816,Aux!D:D,0)),INDEX(Aux!K:K,MATCH(Dados!B816,Aux!I:I,0)))</f>
        <v>Centro</v>
      </c>
      <c r="G816" s="2">
        <v>216</v>
      </c>
      <c r="H816" s="2">
        <v>8829</v>
      </c>
    </row>
    <row r="817" spans="1:8" x14ac:dyDescent="0.3">
      <c r="A817" t="s">
        <v>934</v>
      </c>
      <c r="B817" t="s">
        <v>873</v>
      </c>
      <c r="C817" t="s">
        <v>874</v>
      </c>
      <c r="D817" t="s">
        <v>556</v>
      </c>
      <c r="E817" t="s">
        <v>543</v>
      </c>
      <c r="F817" t="str">
        <f>IFERROR(INDEX(Aux!E:E,MATCH(Dados!E817,Aux!D:D,0)),INDEX(Aux!K:K,MATCH(Dados!B817,Aux!I:I,0)))</f>
        <v>Esquerda</v>
      </c>
      <c r="G817" s="2">
        <v>206</v>
      </c>
      <c r="H817" s="2">
        <v>0</v>
      </c>
    </row>
    <row r="818" spans="1:8" x14ac:dyDescent="0.3">
      <c r="A818" t="s">
        <v>925</v>
      </c>
      <c r="B818" t="s">
        <v>770</v>
      </c>
      <c r="C818" t="s">
        <v>771</v>
      </c>
      <c r="D818" t="s">
        <v>28</v>
      </c>
      <c r="E818" t="s">
        <v>29</v>
      </c>
      <c r="F818" t="str">
        <f>IFERROR(INDEX(Aux!E:E,MATCH(Dados!E818,Aux!D:D,0)),INDEX(Aux!K:K,MATCH(Dados!B818,Aux!I:I,0)))</f>
        <v>Centro</v>
      </c>
      <c r="G818" s="2">
        <v>200</v>
      </c>
      <c r="H818" s="2">
        <v>0</v>
      </c>
    </row>
    <row r="819" spans="1:8" x14ac:dyDescent="0.3">
      <c r="A819" t="s">
        <v>936</v>
      </c>
      <c r="B819" t="s">
        <v>388</v>
      </c>
      <c r="C819" t="s">
        <v>389</v>
      </c>
      <c r="D819" t="s">
        <v>60</v>
      </c>
      <c r="E819" t="s">
        <v>61</v>
      </c>
      <c r="F819" t="str">
        <f>IFERROR(INDEX(Aux!E:E,MATCH(Dados!E819,Aux!D:D,0)),INDEX(Aux!K:K,MATCH(Dados!B819,Aux!I:I,0)))</f>
        <v>Centro</v>
      </c>
      <c r="G819" s="2">
        <v>199</v>
      </c>
      <c r="H819" s="2">
        <v>0</v>
      </c>
    </row>
    <row r="820" spans="1:8" x14ac:dyDescent="0.3">
      <c r="A820" t="s">
        <v>933</v>
      </c>
      <c r="B820" t="s">
        <v>899</v>
      </c>
      <c r="C820" t="s">
        <v>900</v>
      </c>
      <c r="D820" t="s">
        <v>12</v>
      </c>
      <c r="E820" t="s">
        <v>13</v>
      </c>
      <c r="F820" t="str">
        <f>IFERROR(INDEX(Aux!E:E,MATCH(Dados!E820,Aux!D:D,0)),INDEX(Aux!K:K,MATCH(Dados!B820,Aux!I:I,0)))</f>
        <v>Direita</v>
      </c>
      <c r="G820" s="2">
        <v>143</v>
      </c>
      <c r="H820" s="2">
        <v>0</v>
      </c>
    </row>
    <row r="821" spans="1:8" x14ac:dyDescent="0.3">
      <c r="A821" t="s">
        <v>927</v>
      </c>
      <c r="B821" t="s">
        <v>902</v>
      </c>
      <c r="C821" t="s">
        <v>902</v>
      </c>
      <c r="D821" t="s">
        <v>36</v>
      </c>
      <c r="E821" t="s">
        <v>37</v>
      </c>
      <c r="F821" t="str">
        <f>IFERROR(INDEX(Aux!E:E,MATCH(Dados!E821,Aux!D:D,0)),INDEX(Aux!K:K,MATCH(Dados!B821,Aux!I:I,0)))</f>
        <v>Centro</v>
      </c>
      <c r="G821" s="2">
        <v>138</v>
      </c>
      <c r="H821" s="2">
        <v>0</v>
      </c>
    </row>
    <row r="822" spans="1:8" x14ac:dyDescent="0.3">
      <c r="A822" t="s">
        <v>919</v>
      </c>
      <c r="B822" t="s">
        <v>869</v>
      </c>
      <c r="C822" t="s">
        <v>870</v>
      </c>
      <c r="D822" t="s">
        <v>100</v>
      </c>
      <c r="E822" t="s">
        <v>869</v>
      </c>
      <c r="F822" t="str">
        <f>IFERROR(INDEX(Aux!E:E,MATCH(Dados!E822,Aux!D:D,0)),INDEX(Aux!K:K,MATCH(Dados!B822,Aux!I:I,0)))</f>
        <v>Esquerda</v>
      </c>
      <c r="G822" s="2">
        <v>133</v>
      </c>
      <c r="H822" s="2">
        <v>0</v>
      </c>
    </row>
    <row r="823" spans="1:8" x14ac:dyDescent="0.3">
      <c r="A823" t="s">
        <v>918</v>
      </c>
      <c r="B823" t="s">
        <v>664</v>
      </c>
      <c r="C823" t="s">
        <v>665</v>
      </c>
      <c r="D823" t="s">
        <v>468</v>
      </c>
      <c r="E823" t="s">
        <v>469</v>
      </c>
      <c r="F823" t="str">
        <f>IFERROR(INDEX(Aux!E:E,MATCH(Dados!E823,Aux!D:D,0)),INDEX(Aux!K:K,MATCH(Dados!B823,Aux!I:I,0)))</f>
        <v>Indefinido</v>
      </c>
      <c r="G823" s="2">
        <v>124</v>
      </c>
      <c r="H823" s="2">
        <v>0</v>
      </c>
    </row>
    <row r="824" spans="1:8" x14ac:dyDescent="0.3">
      <c r="A824" t="s">
        <v>940</v>
      </c>
      <c r="B824" t="s">
        <v>484</v>
      </c>
      <c r="C824" t="s">
        <v>485</v>
      </c>
      <c r="D824" t="s">
        <v>486</v>
      </c>
      <c r="E824" t="s">
        <v>487</v>
      </c>
      <c r="F824" t="str">
        <f>IFERROR(INDEX(Aux!E:E,MATCH(Dados!E824,Aux!D:D,0)),INDEX(Aux!K:K,MATCH(Dados!B824,Aux!I:I,0)))</f>
        <v>Esquerda</v>
      </c>
      <c r="G824" s="2">
        <v>114</v>
      </c>
      <c r="H824" s="2">
        <v>0</v>
      </c>
    </row>
    <row r="825" spans="1:8" x14ac:dyDescent="0.3">
      <c r="A825" t="s">
        <v>938</v>
      </c>
      <c r="B825" t="s">
        <v>282</v>
      </c>
      <c r="C825" t="s">
        <v>283</v>
      </c>
      <c r="D825" t="s">
        <v>284</v>
      </c>
      <c r="E825" t="s">
        <v>285</v>
      </c>
      <c r="F825" t="str">
        <f>IFERROR(INDEX(Aux!E:E,MATCH(Dados!E825,Aux!D:D,0)),INDEX(Aux!K:K,MATCH(Dados!B825,Aux!I:I,0)))</f>
        <v>Direita</v>
      </c>
      <c r="G825" s="2">
        <v>94</v>
      </c>
      <c r="H825" s="2">
        <v>1075</v>
      </c>
    </row>
    <row r="826" spans="1:8" x14ac:dyDescent="0.3">
      <c r="A826" t="s">
        <v>929</v>
      </c>
      <c r="B826" t="s">
        <v>869</v>
      </c>
      <c r="C826" t="s">
        <v>870</v>
      </c>
      <c r="D826" t="s">
        <v>100</v>
      </c>
      <c r="E826" t="s">
        <v>869</v>
      </c>
      <c r="F826" t="str">
        <f>IFERROR(INDEX(Aux!E:E,MATCH(Dados!E826,Aux!D:D,0)),INDEX(Aux!K:K,MATCH(Dados!B826,Aux!I:I,0)))</f>
        <v>Esquerda</v>
      </c>
      <c r="G826" s="2">
        <v>52</v>
      </c>
      <c r="H826" s="2">
        <v>43</v>
      </c>
    </row>
    <row r="827" spans="1:8" x14ac:dyDescent="0.3">
      <c r="A827" t="s">
        <v>937</v>
      </c>
      <c r="B827" t="s">
        <v>864</v>
      </c>
      <c r="C827" t="s">
        <v>865</v>
      </c>
      <c r="D827" t="s">
        <v>100</v>
      </c>
      <c r="E827" t="s">
        <v>864</v>
      </c>
      <c r="F827" t="str">
        <f>IFERROR(INDEX(Aux!E:E,MATCH(Dados!E827,Aux!D:D,0)),INDEX(Aux!K:K,MATCH(Dados!B827,Aux!I:I,0)))</f>
        <v>Centro</v>
      </c>
      <c r="G827" s="2">
        <v>39</v>
      </c>
      <c r="H827" s="2">
        <v>0</v>
      </c>
    </row>
    <row r="828" spans="1:8" x14ac:dyDescent="0.3">
      <c r="A828" t="s">
        <v>938</v>
      </c>
      <c r="B828" t="s">
        <v>899</v>
      </c>
      <c r="C828" t="s">
        <v>900</v>
      </c>
      <c r="D828" t="s">
        <v>739</v>
      </c>
      <c r="E828" t="s">
        <v>740</v>
      </c>
      <c r="F828" t="str">
        <f>IFERROR(INDEX(Aux!E:E,MATCH(Dados!E828,Aux!D:D,0)),INDEX(Aux!K:K,MATCH(Dados!B828,Aux!I:I,0)))</f>
        <v>Direita</v>
      </c>
      <c r="G828" s="2">
        <v>0</v>
      </c>
      <c r="H828" s="2">
        <v>5882</v>
      </c>
    </row>
    <row r="829" spans="1:8" x14ac:dyDescent="0.3">
      <c r="A829" t="s">
        <v>938</v>
      </c>
      <c r="B829" t="s">
        <v>893</v>
      </c>
      <c r="C829" t="s">
        <v>894</v>
      </c>
      <c r="D829" t="s">
        <v>835</v>
      </c>
      <c r="E829" t="s">
        <v>836</v>
      </c>
      <c r="F829" t="str">
        <f>IFERROR(INDEX(Aux!E:E,MATCH(Dados!E829,Aux!D:D,0)),INDEX(Aux!K:K,MATCH(Dados!B829,Aux!I:I,0)))</f>
        <v>Indefinido</v>
      </c>
      <c r="G829" s="2">
        <v>0</v>
      </c>
      <c r="H829" s="2">
        <v>11802</v>
      </c>
    </row>
    <row r="830" spans="1:8" x14ac:dyDescent="0.3">
      <c r="A830" t="s">
        <v>938</v>
      </c>
      <c r="B830" t="s">
        <v>875</v>
      </c>
      <c r="C830" t="s">
        <v>876</v>
      </c>
      <c r="D830" t="s">
        <v>605</v>
      </c>
      <c r="E830" t="s">
        <v>606</v>
      </c>
      <c r="F830" t="str">
        <f>IFERROR(INDEX(Aux!E:E,MATCH(Dados!E830,Aux!D:D,0)),INDEX(Aux!K:K,MATCH(Dados!B830,Aux!I:I,0)))</f>
        <v>Centro</v>
      </c>
      <c r="G830" s="2">
        <v>0</v>
      </c>
      <c r="H830" s="2">
        <v>35875</v>
      </c>
    </row>
    <row r="831" spans="1:8" x14ac:dyDescent="0.3">
      <c r="A831" t="s">
        <v>938</v>
      </c>
      <c r="B831" t="s">
        <v>871</v>
      </c>
      <c r="C831" t="s">
        <v>872</v>
      </c>
      <c r="D831" t="s">
        <v>803</v>
      </c>
      <c r="E831" t="s">
        <v>804</v>
      </c>
      <c r="F831" t="str">
        <f>IFERROR(INDEX(Aux!E:E,MATCH(Dados!E831,Aux!D:D,0)),INDEX(Aux!K:K,MATCH(Dados!B831,Aux!I:I,0)))</f>
        <v>Esquerda</v>
      </c>
      <c r="G831" s="2">
        <v>0</v>
      </c>
      <c r="H831" s="2">
        <v>15121</v>
      </c>
    </row>
    <row r="832" spans="1:8" x14ac:dyDescent="0.3">
      <c r="A832" t="s">
        <v>938</v>
      </c>
      <c r="B832" t="s">
        <v>787</v>
      </c>
      <c r="C832" t="s">
        <v>788</v>
      </c>
      <c r="D832" t="s">
        <v>789</v>
      </c>
      <c r="E832" t="s">
        <v>790</v>
      </c>
      <c r="F832" t="str">
        <f>IFERROR(INDEX(Aux!E:E,MATCH(Dados!E832,Aux!D:D,0)),INDEX(Aux!K:K,MATCH(Dados!B832,Aux!I:I,0)))</f>
        <v>Centro direita</v>
      </c>
      <c r="G832" s="2">
        <v>0</v>
      </c>
      <c r="H832" s="2">
        <v>16475</v>
      </c>
    </row>
    <row r="833" spans="1:8" x14ac:dyDescent="0.3">
      <c r="A833" t="s">
        <v>938</v>
      </c>
      <c r="B833" t="s">
        <v>864</v>
      </c>
      <c r="C833" t="s">
        <v>865</v>
      </c>
      <c r="D833" t="s">
        <v>789</v>
      </c>
      <c r="E833" t="s">
        <v>790</v>
      </c>
      <c r="F833" t="str">
        <f>IFERROR(INDEX(Aux!E:E,MATCH(Dados!E833,Aux!D:D,0)),INDEX(Aux!K:K,MATCH(Dados!B833,Aux!I:I,0)))</f>
        <v>Centro direita</v>
      </c>
      <c r="G833" s="2">
        <v>0</v>
      </c>
      <c r="H833" s="2">
        <v>2042</v>
      </c>
    </row>
    <row r="834" spans="1:8" x14ac:dyDescent="0.3">
      <c r="A834" t="s">
        <v>938</v>
      </c>
      <c r="B834" t="s">
        <v>866</v>
      </c>
      <c r="C834" t="s">
        <v>867</v>
      </c>
      <c r="D834" t="s">
        <v>394</v>
      </c>
      <c r="E834" t="s">
        <v>395</v>
      </c>
      <c r="F834" t="str">
        <f>IFERROR(INDEX(Aux!E:E,MATCH(Dados!E834,Aux!D:D,0)),INDEX(Aux!K:K,MATCH(Dados!B834,Aux!I:I,0)))</f>
        <v>Centro esquerda</v>
      </c>
      <c r="G834" s="2">
        <v>0</v>
      </c>
      <c r="H834" s="2">
        <v>2795</v>
      </c>
    </row>
    <row r="835" spans="1:8" x14ac:dyDescent="0.3">
      <c r="A835" t="s">
        <v>938</v>
      </c>
      <c r="B835" t="s">
        <v>206</v>
      </c>
      <c r="C835" t="s">
        <v>207</v>
      </c>
      <c r="D835" t="s">
        <v>220</v>
      </c>
      <c r="E835" t="s">
        <v>221</v>
      </c>
      <c r="F835" t="str">
        <f>IFERROR(INDEX(Aux!E:E,MATCH(Dados!E835,Aux!D:D,0)),INDEX(Aux!K:K,MATCH(Dados!B835,Aux!I:I,0)))</f>
        <v>Centro direita</v>
      </c>
      <c r="G835" s="2">
        <v>0</v>
      </c>
      <c r="H835" s="2">
        <v>11598</v>
      </c>
    </row>
    <row r="836" spans="1:8" x14ac:dyDescent="0.3">
      <c r="A836" t="s">
        <v>938</v>
      </c>
      <c r="B836" t="s">
        <v>756</v>
      </c>
      <c r="C836" t="s">
        <v>757</v>
      </c>
      <c r="D836" t="s">
        <v>394</v>
      </c>
      <c r="E836" t="s">
        <v>395</v>
      </c>
      <c r="F836" t="str">
        <f>IFERROR(INDEX(Aux!E:E,MATCH(Dados!E836,Aux!D:D,0)),INDEX(Aux!K:K,MATCH(Dados!B836,Aux!I:I,0)))</f>
        <v>Centro esquerda</v>
      </c>
      <c r="G836" s="2">
        <v>0</v>
      </c>
      <c r="H836" s="2">
        <v>34764</v>
      </c>
    </row>
    <row r="837" spans="1:8" x14ac:dyDescent="0.3">
      <c r="A837" t="s">
        <v>938</v>
      </c>
      <c r="B837" t="s">
        <v>783</v>
      </c>
      <c r="C837" t="s">
        <v>784</v>
      </c>
      <c r="D837" t="s">
        <v>338</v>
      </c>
      <c r="E837" t="s">
        <v>339</v>
      </c>
      <c r="F837" t="str">
        <f>IFERROR(INDEX(Aux!E:E,MATCH(Dados!E837,Aux!D:D,0)),INDEX(Aux!K:K,MATCH(Dados!B837,Aux!I:I,0)))</f>
        <v>Esquerda</v>
      </c>
      <c r="G837" s="2">
        <v>0</v>
      </c>
      <c r="H837" s="2">
        <v>272</v>
      </c>
    </row>
    <row r="838" spans="1:8" x14ac:dyDescent="0.3">
      <c r="A838" t="s">
        <v>938</v>
      </c>
      <c r="B838" t="s">
        <v>770</v>
      </c>
      <c r="C838" t="s">
        <v>771</v>
      </c>
      <c r="D838" t="s">
        <v>394</v>
      </c>
      <c r="E838" t="s">
        <v>395</v>
      </c>
      <c r="F838" t="str">
        <f>IFERROR(INDEX(Aux!E:E,MATCH(Dados!E838,Aux!D:D,0)),INDEX(Aux!K:K,MATCH(Dados!B838,Aux!I:I,0)))</f>
        <v>Centro esquerda</v>
      </c>
      <c r="G838" s="2">
        <v>0</v>
      </c>
      <c r="H838" s="2">
        <v>5340</v>
      </c>
    </row>
    <row r="839" spans="1:8" x14ac:dyDescent="0.3">
      <c r="A839" t="s">
        <v>938</v>
      </c>
      <c r="B839" t="s">
        <v>857</v>
      </c>
      <c r="C839" t="s">
        <v>858</v>
      </c>
      <c r="D839" t="s">
        <v>394</v>
      </c>
      <c r="E839" t="s">
        <v>395</v>
      </c>
      <c r="F839" t="str">
        <f>IFERROR(INDEX(Aux!E:E,MATCH(Dados!E839,Aux!D:D,0)),INDEX(Aux!K:K,MATCH(Dados!B839,Aux!I:I,0)))</f>
        <v>Centro esquerda</v>
      </c>
      <c r="G839" s="2">
        <v>0</v>
      </c>
      <c r="H839" s="2">
        <v>7131</v>
      </c>
    </row>
    <row r="840" spans="1:8" x14ac:dyDescent="0.3">
      <c r="A840" t="s">
        <v>938</v>
      </c>
      <c r="B840" t="s">
        <v>716</v>
      </c>
      <c r="C840" t="s">
        <v>717</v>
      </c>
      <c r="D840" t="s">
        <v>220</v>
      </c>
      <c r="E840" t="s">
        <v>221</v>
      </c>
      <c r="F840" t="str">
        <f>IFERROR(INDEX(Aux!E:E,MATCH(Dados!E840,Aux!D:D,0)),INDEX(Aux!K:K,MATCH(Dados!B840,Aux!I:I,0)))</f>
        <v>Centro direita</v>
      </c>
      <c r="G840" s="2">
        <v>0</v>
      </c>
      <c r="H840" s="2">
        <v>6993</v>
      </c>
    </row>
    <row r="841" spans="1:8" x14ac:dyDescent="0.3">
      <c r="A841" t="s">
        <v>938</v>
      </c>
      <c r="B841" t="s">
        <v>690</v>
      </c>
      <c r="C841" t="s">
        <v>691</v>
      </c>
      <c r="D841" t="s">
        <v>220</v>
      </c>
      <c r="E841" t="s">
        <v>221</v>
      </c>
      <c r="F841" t="str">
        <f>IFERROR(INDEX(Aux!E:E,MATCH(Dados!E841,Aux!D:D,0)),INDEX(Aux!K:K,MATCH(Dados!B841,Aux!I:I,0)))</f>
        <v>Centro direita</v>
      </c>
      <c r="G841" s="2">
        <v>0</v>
      </c>
      <c r="H841" s="2">
        <v>12603</v>
      </c>
    </row>
    <row r="842" spans="1:8" x14ac:dyDescent="0.3">
      <c r="A842" t="s">
        <v>938</v>
      </c>
      <c r="B842" t="s">
        <v>664</v>
      </c>
      <c r="C842" t="s">
        <v>665</v>
      </c>
      <c r="D842" t="s">
        <v>338</v>
      </c>
      <c r="E842" t="s">
        <v>339</v>
      </c>
      <c r="F842" t="str">
        <f>IFERROR(INDEX(Aux!E:E,MATCH(Dados!E842,Aux!D:D,0)),INDEX(Aux!K:K,MATCH(Dados!B842,Aux!I:I,0)))</f>
        <v>Esquerda</v>
      </c>
      <c r="G842" s="2">
        <v>0</v>
      </c>
      <c r="H842" s="2">
        <v>11915</v>
      </c>
    </row>
    <row r="843" spans="1:8" x14ac:dyDescent="0.3">
      <c r="A843" t="s">
        <v>938</v>
      </c>
      <c r="B843" t="s">
        <v>737</v>
      </c>
      <c r="C843" t="s">
        <v>738</v>
      </c>
      <c r="D843" t="s">
        <v>739</v>
      </c>
      <c r="E843" t="s">
        <v>740</v>
      </c>
      <c r="F843" t="str">
        <f>IFERROR(INDEX(Aux!E:E,MATCH(Dados!E843,Aux!D:D,0)),INDEX(Aux!K:K,MATCH(Dados!B843,Aux!I:I,0)))</f>
        <v>Direita</v>
      </c>
      <c r="G843" s="2">
        <v>0</v>
      </c>
      <c r="H843" s="2">
        <v>1219</v>
      </c>
    </row>
    <row r="844" spans="1:8" x14ac:dyDescent="0.3">
      <c r="A844" t="s">
        <v>938</v>
      </c>
      <c r="B844" t="s">
        <v>488</v>
      </c>
      <c r="C844" t="s">
        <v>489</v>
      </c>
      <c r="D844" t="s">
        <v>100</v>
      </c>
      <c r="E844" t="s">
        <v>488</v>
      </c>
      <c r="F844" t="str">
        <f>IFERROR(INDEX(Aux!E:E,MATCH(Dados!E844,Aux!D:D,0)),INDEX(Aux!K:K,MATCH(Dados!B844,Aux!I:I,0)))</f>
        <v>Esquerda</v>
      </c>
      <c r="G844" s="2">
        <v>0</v>
      </c>
      <c r="H844" s="2">
        <v>19341</v>
      </c>
    </row>
    <row r="845" spans="1:8" x14ac:dyDescent="0.3">
      <c r="A845" t="s">
        <v>938</v>
      </c>
      <c r="B845" t="s">
        <v>599</v>
      </c>
      <c r="C845" t="s">
        <v>600</v>
      </c>
      <c r="D845" t="s">
        <v>605</v>
      </c>
      <c r="E845" t="s">
        <v>606</v>
      </c>
      <c r="F845" t="str">
        <f>IFERROR(INDEX(Aux!E:E,MATCH(Dados!E845,Aux!D:D,0)),INDEX(Aux!K:K,MATCH(Dados!B845,Aux!I:I,0)))</f>
        <v>Centro</v>
      </c>
      <c r="G845" s="2">
        <v>0</v>
      </c>
      <c r="H845" s="2">
        <v>6928</v>
      </c>
    </row>
    <row r="846" spans="1:8" x14ac:dyDescent="0.3">
      <c r="A846" t="s">
        <v>938</v>
      </c>
      <c r="B846" t="s">
        <v>831</v>
      </c>
      <c r="C846" t="s">
        <v>832</v>
      </c>
      <c r="D846" t="s">
        <v>835</v>
      </c>
      <c r="E846" t="s">
        <v>836</v>
      </c>
      <c r="F846" t="str">
        <f>IFERROR(INDEX(Aux!E:E,MATCH(Dados!E846,Aux!D:D,0)),INDEX(Aux!K:K,MATCH(Dados!B846,Aux!I:I,0)))</f>
        <v>Indefinido</v>
      </c>
      <c r="G846" s="2">
        <v>0</v>
      </c>
      <c r="H846" s="2">
        <v>31136</v>
      </c>
    </row>
    <row r="847" spans="1:8" x14ac:dyDescent="0.3">
      <c r="A847" t="s">
        <v>938</v>
      </c>
      <c r="B847" t="s">
        <v>540</v>
      </c>
      <c r="C847" t="s">
        <v>541</v>
      </c>
      <c r="D847" t="s">
        <v>338</v>
      </c>
      <c r="E847" t="s">
        <v>339</v>
      </c>
      <c r="F847" t="str">
        <f>IFERROR(INDEX(Aux!E:E,MATCH(Dados!E847,Aux!D:D,0)),INDEX(Aux!K:K,MATCH(Dados!B847,Aux!I:I,0)))</f>
        <v>Esquerda</v>
      </c>
      <c r="G847" s="2">
        <v>0</v>
      </c>
      <c r="H847" s="2">
        <v>4243</v>
      </c>
    </row>
    <row r="848" spans="1:8" x14ac:dyDescent="0.3">
      <c r="A848" t="s">
        <v>938</v>
      </c>
      <c r="B848" t="s">
        <v>799</v>
      </c>
      <c r="C848" t="s">
        <v>800</v>
      </c>
      <c r="D848" t="s">
        <v>803</v>
      </c>
      <c r="E848" t="s">
        <v>804</v>
      </c>
      <c r="F848" t="str">
        <f>IFERROR(INDEX(Aux!E:E,MATCH(Dados!E848,Aux!D:D,0)),INDEX(Aux!K:K,MATCH(Dados!B848,Aux!I:I,0)))</f>
        <v>Esquerda</v>
      </c>
      <c r="G848" s="2">
        <v>0</v>
      </c>
      <c r="H848" s="2">
        <v>40225</v>
      </c>
    </row>
    <row r="849" spans="1:8" x14ac:dyDescent="0.3">
      <c r="A849" t="s">
        <v>938</v>
      </c>
      <c r="B849" t="s">
        <v>440</v>
      </c>
      <c r="C849" t="s">
        <v>441</v>
      </c>
      <c r="D849" t="s">
        <v>100</v>
      </c>
      <c r="E849" t="s">
        <v>440</v>
      </c>
      <c r="F849" t="str">
        <f>IFERROR(INDEX(Aux!E:E,MATCH(Dados!E849,Aux!D:D,0)),INDEX(Aux!K:K,MATCH(Dados!B849,Aux!I:I,0)))</f>
        <v>Esquerda</v>
      </c>
      <c r="G849" s="2">
        <v>0</v>
      </c>
      <c r="H849" s="2">
        <v>17191</v>
      </c>
    </row>
    <row r="850" spans="1:8" x14ac:dyDescent="0.3">
      <c r="A850" t="s">
        <v>938</v>
      </c>
      <c r="B850" t="s">
        <v>388</v>
      </c>
      <c r="C850" t="s">
        <v>389</v>
      </c>
      <c r="D850" t="s">
        <v>394</v>
      </c>
      <c r="E850" t="s">
        <v>395</v>
      </c>
      <c r="F850" t="str">
        <f>IFERROR(INDEX(Aux!E:E,MATCH(Dados!E850,Aux!D:D,0)),INDEX(Aux!K:K,MATCH(Dados!B850,Aux!I:I,0)))</f>
        <v>Centro esquerda</v>
      </c>
      <c r="G850" s="2">
        <v>0</v>
      </c>
      <c r="H850" s="2">
        <v>3665</v>
      </c>
    </row>
    <row r="851" spans="1:8" x14ac:dyDescent="0.3">
      <c r="A851" t="s">
        <v>938</v>
      </c>
      <c r="B851" t="s">
        <v>334</v>
      </c>
      <c r="C851" t="s">
        <v>335</v>
      </c>
      <c r="D851" t="s">
        <v>338</v>
      </c>
      <c r="E851" t="s">
        <v>339</v>
      </c>
      <c r="F851" t="str">
        <f>IFERROR(INDEX(Aux!E:E,MATCH(Dados!E851,Aux!D:D,0)),INDEX(Aux!K:K,MATCH(Dados!B851,Aux!I:I,0)))</f>
        <v>Esquerda</v>
      </c>
      <c r="G851" s="2">
        <v>0</v>
      </c>
      <c r="H851" s="2">
        <v>10292</v>
      </c>
    </row>
    <row r="852" spans="1:8" x14ac:dyDescent="0.3">
      <c r="A852" t="s">
        <v>938</v>
      </c>
      <c r="B852" t="s">
        <v>4</v>
      </c>
      <c r="C852" t="s">
        <v>5</v>
      </c>
      <c r="D852" t="s">
        <v>100</v>
      </c>
      <c r="E852" t="s">
        <v>4</v>
      </c>
      <c r="F852" t="str">
        <f>IFERROR(INDEX(Aux!E:E,MATCH(Dados!E852,Aux!D:D,0)),INDEX(Aux!K:K,MATCH(Dados!B852,Aux!I:I,0)))</f>
        <v>Esquerda</v>
      </c>
      <c r="G852" s="2">
        <v>0</v>
      </c>
      <c r="H852" s="2">
        <v>20075</v>
      </c>
    </row>
    <row r="853" spans="1:8" x14ac:dyDescent="0.3">
      <c r="A853" t="s">
        <v>933</v>
      </c>
      <c r="B853" t="s">
        <v>902</v>
      </c>
      <c r="C853" t="s">
        <v>902</v>
      </c>
      <c r="D853" t="s">
        <v>216</v>
      </c>
      <c r="E853" t="s">
        <v>217</v>
      </c>
      <c r="F853" t="str">
        <f>IFERROR(INDEX(Aux!E:E,MATCH(Dados!E853,Aux!D:D,0)),INDEX(Aux!K:K,MATCH(Dados!B853,Aux!I:I,0)))</f>
        <v>Centro</v>
      </c>
      <c r="G853" s="2">
        <v>0</v>
      </c>
      <c r="H853" s="2">
        <v>35076</v>
      </c>
    </row>
    <row r="854" spans="1:8" x14ac:dyDescent="0.3">
      <c r="A854" t="s">
        <v>933</v>
      </c>
      <c r="B854" t="s">
        <v>899</v>
      </c>
      <c r="C854" t="s">
        <v>900</v>
      </c>
      <c r="D854" t="s">
        <v>741</v>
      </c>
      <c r="E854" t="s">
        <v>742</v>
      </c>
      <c r="F854" t="str">
        <f>IFERROR(INDEX(Aux!E:E,MATCH(Dados!E854,Aux!D:D,0)),INDEX(Aux!K:K,MATCH(Dados!B854,Aux!I:I,0)))</f>
        <v>Direita</v>
      </c>
      <c r="G854" s="2">
        <v>0</v>
      </c>
      <c r="H854" s="2">
        <v>95</v>
      </c>
    </row>
    <row r="855" spans="1:8" x14ac:dyDescent="0.3">
      <c r="A855" t="s">
        <v>933</v>
      </c>
      <c r="B855" t="s">
        <v>893</v>
      </c>
      <c r="C855" t="s">
        <v>894</v>
      </c>
      <c r="D855" t="s">
        <v>396</v>
      </c>
      <c r="E855" t="s">
        <v>397</v>
      </c>
      <c r="F855" t="str">
        <f>IFERROR(INDEX(Aux!E:E,MATCH(Dados!E855,Aux!D:D,0)),INDEX(Aux!K:K,MATCH(Dados!B855,Aux!I:I,0)))</f>
        <v>Indefinido</v>
      </c>
      <c r="G855" s="2">
        <v>0</v>
      </c>
      <c r="H855" s="2">
        <v>28951</v>
      </c>
    </row>
    <row r="856" spans="1:8" x14ac:dyDescent="0.3">
      <c r="A856" t="s">
        <v>933</v>
      </c>
      <c r="B856" t="s">
        <v>875</v>
      </c>
      <c r="C856" t="s">
        <v>876</v>
      </c>
      <c r="D856" t="s">
        <v>14</v>
      </c>
      <c r="E856" t="s">
        <v>15</v>
      </c>
      <c r="F856" t="str">
        <f>IFERROR(INDEX(Aux!E:E,MATCH(Dados!E856,Aux!D:D,0)),INDEX(Aux!K:K,MATCH(Dados!B856,Aux!I:I,0)))</f>
        <v>Centro</v>
      </c>
      <c r="G856" s="2">
        <v>0</v>
      </c>
      <c r="H856" s="2">
        <v>269755</v>
      </c>
    </row>
    <row r="857" spans="1:8" x14ac:dyDescent="0.3">
      <c r="A857" t="s">
        <v>933</v>
      </c>
      <c r="B857" t="s">
        <v>871</v>
      </c>
      <c r="C857" t="s">
        <v>872</v>
      </c>
      <c r="D857" t="s">
        <v>345</v>
      </c>
      <c r="E857" t="s">
        <v>346</v>
      </c>
      <c r="F857" t="str">
        <f>IFERROR(INDEX(Aux!E:E,MATCH(Dados!E857,Aux!D:D,0)),INDEX(Aux!K:K,MATCH(Dados!B857,Aux!I:I,0)))</f>
        <v>Esquerda</v>
      </c>
      <c r="G857" s="2">
        <v>0</v>
      </c>
      <c r="H857" s="2">
        <v>8468</v>
      </c>
    </row>
    <row r="858" spans="1:8" x14ac:dyDescent="0.3">
      <c r="A858" t="s">
        <v>933</v>
      </c>
      <c r="B858" t="s">
        <v>817</v>
      </c>
      <c r="C858" t="s">
        <v>818</v>
      </c>
      <c r="D858" t="s">
        <v>216</v>
      </c>
      <c r="E858" t="s">
        <v>217</v>
      </c>
      <c r="F858" t="str">
        <f>IFERROR(INDEX(Aux!E:E,MATCH(Dados!E858,Aux!D:D,0)),INDEX(Aux!K:K,MATCH(Dados!B858,Aux!I:I,0)))</f>
        <v>Centro</v>
      </c>
      <c r="G858" s="2">
        <v>0</v>
      </c>
      <c r="H858" s="2">
        <v>44589</v>
      </c>
    </row>
    <row r="859" spans="1:8" x14ac:dyDescent="0.3">
      <c r="A859" t="s">
        <v>933</v>
      </c>
      <c r="B859" t="s">
        <v>787</v>
      </c>
      <c r="C859" t="s">
        <v>788</v>
      </c>
      <c r="D859" t="s">
        <v>14</v>
      </c>
      <c r="E859" t="s">
        <v>15</v>
      </c>
      <c r="F859" t="str">
        <f>IFERROR(INDEX(Aux!E:E,MATCH(Dados!E859,Aux!D:D,0)),INDEX(Aux!K:K,MATCH(Dados!B859,Aux!I:I,0)))</f>
        <v>Centro</v>
      </c>
      <c r="G859" s="2">
        <v>0</v>
      </c>
      <c r="H859" s="2">
        <v>11600</v>
      </c>
    </row>
    <row r="860" spans="1:8" x14ac:dyDescent="0.3">
      <c r="A860" t="s">
        <v>933</v>
      </c>
      <c r="B860" t="s">
        <v>866</v>
      </c>
      <c r="C860" t="s">
        <v>867</v>
      </c>
      <c r="D860" t="s">
        <v>216</v>
      </c>
      <c r="E860" t="s">
        <v>217</v>
      </c>
      <c r="F860" t="str">
        <f>IFERROR(INDEX(Aux!E:E,MATCH(Dados!E860,Aux!D:D,0)),INDEX(Aux!K:K,MATCH(Dados!B860,Aux!I:I,0)))</f>
        <v>Centro</v>
      </c>
      <c r="G860" s="2">
        <v>0</v>
      </c>
      <c r="H860" s="2">
        <v>26698</v>
      </c>
    </row>
    <row r="861" spans="1:8" x14ac:dyDescent="0.3">
      <c r="A861" t="s">
        <v>933</v>
      </c>
      <c r="B861" t="s">
        <v>206</v>
      </c>
      <c r="C861" t="s">
        <v>207</v>
      </c>
      <c r="D861" t="s">
        <v>216</v>
      </c>
      <c r="E861" t="s">
        <v>217</v>
      </c>
      <c r="F861" t="str">
        <f>IFERROR(INDEX(Aux!E:E,MATCH(Dados!E861,Aux!D:D,0)),INDEX(Aux!K:K,MATCH(Dados!B861,Aux!I:I,0)))</f>
        <v>Centro</v>
      </c>
      <c r="G861" s="2">
        <v>0</v>
      </c>
      <c r="H861" s="2">
        <v>5961</v>
      </c>
    </row>
    <row r="862" spans="1:8" x14ac:dyDescent="0.3">
      <c r="A862" t="s">
        <v>933</v>
      </c>
      <c r="B862" t="s">
        <v>756</v>
      </c>
      <c r="C862" t="s">
        <v>757</v>
      </c>
      <c r="D862" t="s">
        <v>396</v>
      </c>
      <c r="E862" t="s">
        <v>397</v>
      </c>
      <c r="F862" t="str">
        <f>IFERROR(INDEX(Aux!E:E,MATCH(Dados!E862,Aux!D:D,0)),INDEX(Aux!K:K,MATCH(Dados!B862,Aux!I:I,0)))</f>
        <v>Indefinido</v>
      </c>
      <c r="G862" s="2">
        <v>0</v>
      </c>
      <c r="H862" s="2">
        <v>142804</v>
      </c>
    </row>
    <row r="863" spans="1:8" x14ac:dyDescent="0.3">
      <c r="A863" t="s">
        <v>933</v>
      </c>
      <c r="B863" t="s">
        <v>770</v>
      </c>
      <c r="C863" t="s">
        <v>771</v>
      </c>
      <c r="D863" t="s">
        <v>741</v>
      </c>
      <c r="E863" t="s">
        <v>742</v>
      </c>
      <c r="F863" t="str">
        <f>IFERROR(INDEX(Aux!E:E,MATCH(Dados!E863,Aux!D:D,0)),INDEX(Aux!K:K,MATCH(Dados!B863,Aux!I:I,0)))</f>
        <v>Direita</v>
      </c>
      <c r="G863" s="2">
        <v>0</v>
      </c>
      <c r="H863" s="2">
        <v>31609</v>
      </c>
    </row>
    <row r="864" spans="1:8" x14ac:dyDescent="0.3">
      <c r="A864" t="s">
        <v>933</v>
      </c>
      <c r="B864" t="s">
        <v>857</v>
      </c>
      <c r="C864" t="s">
        <v>858</v>
      </c>
      <c r="D864" t="s">
        <v>14</v>
      </c>
      <c r="E864" t="s">
        <v>15</v>
      </c>
      <c r="F864" t="str">
        <f>IFERROR(INDEX(Aux!E:E,MATCH(Dados!E864,Aux!D:D,0)),INDEX(Aux!K:K,MATCH(Dados!B864,Aux!I:I,0)))</f>
        <v>Centro</v>
      </c>
      <c r="G864" s="2">
        <v>0</v>
      </c>
      <c r="H864" s="2">
        <v>21964</v>
      </c>
    </row>
    <row r="865" spans="1:8" x14ac:dyDescent="0.3">
      <c r="A865" t="s">
        <v>933</v>
      </c>
      <c r="B865" t="s">
        <v>716</v>
      </c>
      <c r="C865" t="s">
        <v>717</v>
      </c>
      <c r="D865" t="s">
        <v>396</v>
      </c>
      <c r="E865" t="s">
        <v>397</v>
      </c>
      <c r="F865" t="str">
        <f>IFERROR(INDEX(Aux!E:E,MATCH(Dados!E865,Aux!D:D,0)),INDEX(Aux!K:K,MATCH(Dados!B865,Aux!I:I,0)))</f>
        <v>Indefinido</v>
      </c>
      <c r="G865" s="2">
        <v>0</v>
      </c>
      <c r="H865" s="2">
        <v>35513</v>
      </c>
    </row>
    <row r="866" spans="1:8" x14ac:dyDescent="0.3">
      <c r="A866" t="s">
        <v>933</v>
      </c>
      <c r="B866" t="s">
        <v>690</v>
      </c>
      <c r="C866" t="s">
        <v>691</v>
      </c>
      <c r="D866" t="s">
        <v>396</v>
      </c>
      <c r="E866" t="s">
        <v>397</v>
      </c>
      <c r="F866" t="str">
        <f>IFERROR(INDEX(Aux!E:E,MATCH(Dados!E866,Aux!D:D,0)),INDEX(Aux!K:K,MATCH(Dados!B866,Aux!I:I,0)))</f>
        <v>Indefinido</v>
      </c>
      <c r="G866" s="2">
        <v>0</v>
      </c>
      <c r="H866" s="2">
        <v>29550</v>
      </c>
    </row>
    <row r="867" spans="1:8" x14ac:dyDescent="0.3">
      <c r="A867" t="s">
        <v>933</v>
      </c>
      <c r="B867" t="s">
        <v>737</v>
      </c>
      <c r="C867" t="s">
        <v>738</v>
      </c>
      <c r="D867" t="s">
        <v>741</v>
      </c>
      <c r="E867" t="s">
        <v>742</v>
      </c>
      <c r="F867" t="str">
        <f>IFERROR(INDEX(Aux!E:E,MATCH(Dados!E867,Aux!D:D,0)),INDEX(Aux!K:K,MATCH(Dados!B867,Aux!I:I,0)))</f>
        <v>Direita</v>
      </c>
      <c r="G867" s="2">
        <v>0</v>
      </c>
      <c r="H867" s="2">
        <v>195807</v>
      </c>
    </row>
    <row r="868" spans="1:8" x14ac:dyDescent="0.3">
      <c r="A868" t="s">
        <v>933</v>
      </c>
      <c r="B868" t="s">
        <v>488</v>
      </c>
      <c r="C868" t="s">
        <v>489</v>
      </c>
      <c r="D868" t="s">
        <v>396</v>
      </c>
      <c r="E868" t="s">
        <v>397</v>
      </c>
      <c r="F868" t="str">
        <f>IFERROR(INDEX(Aux!E:E,MATCH(Dados!E868,Aux!D:D,0)),INDEX(Aux!K:K,MATCH(Dados!B868,Aux!I:I,0)))</f>
        <v>Indefinido</v>
      </c>
      <c r="G868" s="2">
        <v>0</v>
      </c>
      <c r="H868" s="2">
        <v>8129</v>
      </c>
    </row>
    <row r="869" spans="1:8" x14ac:dyDescent="0.3">
      <c r="A869" t="s">
        <v>933</v>
      </c>
      <c r="B869" t="s">
        <v>641</v>
      </c>
      <c r="C869" t="s">
        <v>642</v>
      </c>
      <c r="D869" t="s">
        <v>396</v>
      </c>
      <c r="E869" t="s">
        <v>397</v>
      </c>
      <c r="F869" t="str">
        <f>IFERROR(INDEX(Aux!E:E,MATCH(Dados!E869,Aux!D:D,0)),INDEX(Aux!K:K,MATCH(Dados!B869,Aux!I:I,0)))</f>
        <v>Indefinido</v>
      </c>
      <c r="G869" s="2">
        <v>0</v>
      </c>
      <c r="H869" s="2">
        <v>23</v>
      </c>
    </row>
    <row r="870" spans="1:8" x14ac:dyDescent="0.3">
      <c r="A870" t="s">
        <v>933</v>
      </c>
      <c r="B870" t="s">
        <v>599</v>
      </c>
      <c r="C870" t="s">
        <v>600</v>
      </c>
      <c r="D870" t="s">
        <v>14</v>
      </c>
      <c r="E870" t="s">
        <v>15</v>
      </c>
      <c r="F870" t="str">
        <f>IFERROR(INDEX(Aux!E:E,MATCH(Dados!E870,Aux!D:D,0)),INDEX(Aux!K:K,MATCH(Dados!B870,Aux!I:I,0)))</f>
        <v>Centro</v>
      </c>
      <c r="G870" s="2">
        <v>0</v>
      </c>
      <c r="H870" s="2">
        <v>97256</v>
      </c>
    </row>
    <row r="871" spans="1:8" x14ac:dyDescent="0.3">
      <c r="A871" t="s">
        <v>933</v>
      </c>
      <c r="B871" t="s">
        <v>831</v>
      </c>
      <c r="C871" t="s">
        <v>832</v>
      </c>
      <c r="D871" t="s">
        <v>396</v>
      </c>
      <c r="E871" t="s">
        <v>397</v>
      </c>
      <c r="F871" t="str">
        <f>IFERROR(INDEX(Aux!E:E,MATCH(Dados!E871,Aux!D:D,0)),INDEX(Aux!K:K,MATCH(Dados!B871,Aux!I:I,0)))</f>
        <v>Indefinido</v>
      </c>
      <c r="G871" s="2">
        <v>0</v>
      </c>
      <c r="H871" s="2">
        <v>84308</v>
      </c>
    </row>
    <row r="872" spans="1:8" x14ac:dyDescent="0.3">
      <c r="A872" t="s">
        <v>933</v>
      </c>
      <c r="B872" t="s">
        <v>799</v>
      </c>
      <c r="C872" t="s">
        <v>800</v>
      </c>
      <c r="D872" t="s">
        <v>345</v>
      </c>
      <c r="E872" t="s">
        <v>346</v>
      </c>
      <c r="F872" t="str">
        <f>IFERROR(INDEX(Aux!E:E,MATCH(Dados!E872,Aux!D:D,0)),INDEX(Aux!K:K,MATCH(Dados!B872,Aux!I:I,0)))</f>
        <v>Esquerda</v>
      </c>
      <c r="G872" s="2">
        <v>0</v>
      </c>
      <c r="H872" s="2">
        <v>38234</v>
      </c>
    </row>
    <row r="873" spans="1:8" x14ac:dyDescent="0.3">
      <c r="A873" t="s">
        <v>933</v>
      </c>
      <c r="B873" t="s">
        <v>440</v>
      </c>
      <c r="C873" t="s">
        <v>441</v>
      </c>
      <c r="D873" t="s">
        <v>14</v>
      </c>
      <c r="E873" t="s">
        <v>15</v>
      </c>
      <c r="F873" t="str">
        <f>IFERROR(INDEX(Aux!E:E,MATCH(Dados!E873,Aux!D:D,0)),INDEX(Aux!K:K,MATCH(Dados!B873,Aux!I:I,0)))</f>
        <v>Centro</v>
      </c>
      <c r="G873" s="2">
        <v>0</v>
      </c>
      <c r="H873" s="2">
        <v>56281</v>
      </c>
    </row>
    <row r="874" spans="1:8" x14ac:dyDescent="0.3">
      <c r="A874" t="s">
        <v>933</v>
      </c>
      <c r="B874" t="s">
        <v>388</v>
      </c>
      <c r="C874" t="s">
        <v>389</v>
      </c>
      <c r="D874" t="s">
        <v>396</v>
      </c>
      <c r="E874" t="s">
        <v>397</v>
      </c>
      <c r="F874" t="str">
        <f>IFERROR(INDEX(Aux!E:E,MATCH(Dados!E874,Aux!D:D,0)),INDEX(Aux!K:K,MATCH(Dados!B874,Aux!I:I,0)))</f>
        <v>Indefinido</v>
      </c>
      <c r="G874" s="2">
        <v>0</v>
      </c>
      <c r="H874" s="2">
        <v>17630</v>
      </c>
    </row>
    <row r="875" spans="1:8" x14ac:dyDescent="0.3">
      <c r="A875" t="s">
        <v>933</v>
      </c>
      <c r="B875" t="s">
        <v>334</v>
      </c>
      <c r="C875" t="s">
        <v>335</v>
      </c>
      <c r="D875" t="s">
        <v>345</v>
      </c>
      <c r="E875" t="s">
        <v>346</v>
      </c>
      <c r="F875" t="str">
        <f>IFERROR(INDEX(Aux!E:E,MATCH(Dados!E875,Aux!D:D,0)),INDEX(Aux!K:K,MATCH(Dados!B875,Aux!I:I,0)))</f>
        <v>Esquerda</v>
      </c>
      <c r="G875" s="2">
        <v>0</v>
      </c>
      <c r="H875" s="2">
        <v>27693</v>
      </c>
    </row>
    <row r="876" spans="1:8" x14ac:dyDescent="0.3">
      <c r="A876" t="s">
        <v>933</v>
      </c>
      <c r="B876" t="s">
        <v>4</v>
      </c>
      <c r="C876" t="s">
        <v>5</v>
      </c>
      <c r="D876" t="s">
        <v>14</v>
      </c>
      <c r="E876" t="s">
        <v>15</v>
      </c>
      <c r="F876" t="str">
        <f>IFERROR(INDEX(Aux!E:E,MATCH(Dados!E876,Aux!D:D,0)),INDEX(Aux!K:K,MATCH(Dados!B876,Aux!I:I,0)))</f>
        <v>Centro</v>
      </c>
      <c r="G876" s="2">
        <v>0</v>
      </c>
      <c r="H876" s="2">
        <v>39516</v>
      </c>
    </row>
    <row r="877" spans="1:8" x14ac:dyDescent="0.3">
      <c r="A877" t="s">
        <v>939</v>
      </c>
      <c r="B877" t="s">
        <v>902</v>
      </c>
      <c r="C877" t="s">
        <v>902</v>
      </c>
      <c r="D877" t="s">
        <v>837</v>
      </c>
      <c r="E877" t="s">
        <v>838</v>
      </c>
      <c r="F877" t="str">
        <f>IFERROR(INDEX(Aux!E:E,MATCH(Dados!E877,Aux!D:D,0)),INDEX(Aux!K:K,MATCH(Dados!B877,Aux!I:I,0)))</f>
        <v>Centro</v>
      </c>
      <c r="G877" s="2">
        <v>0</v>
      </c>
      <c r="H877" s="2">
        <v>286</v>
      </c>
    </row>
    <row r="878" spans="1:8" x14ac:dyDescent="0.3">
      <c r="A878" t="s">
        <v>939</v>
      </c>
      <c r="B878" t="s">
        <v>899</v>
      </c>
      <c r="C878" t="s">
        <v>900</v>
      </c>
      <c r="D878" t="s">
        <v>721</v>
      </c>
      <c r="E878" t="s">
        <v>722</v>
      </c>
      <c r="F878" t="str">
        <f>IFERROR(INDEX(Aux!E:E,MATCH(Dados!E878,Aux!D:D,0)),INDEX(Aux!K:K,MATCH(Dados!B878,Aux!I:I,0)))</f>
        <v>Direita</v>
      </c>
      <c r="G878" s="2">
        <v>0</v>
      </c>
      <c r="H878" s="2">
        <v>8677</v>
      </c>
    </row>
    <row r="879" spans="1:8" x14ac:dyDescent="0.3">
      <c r="A879" t="s">
        <v>939</v>
      </c>
      <c r="B879" t="s">
        <v>893</v>
      </c>
      <c r="C879" t="s">
        <v>894</v>
      </c>
      <c r="D879" t="s">
        <v>837</v>
      </c>
      <c r="E879" t="s">
        <v>838</v>
      </c>
      <c r="F879" t="str">
        <f>IFERROR(INDEX(Aux!E:E,MATCH(Dados!E879,Aux!D:D,0)),INDEX(Aux!K:K,MATCH(Dados!B879,Aux!I:I,0)))</f>
        <v>Centro</v>
      </c>
      <c r="G879" s="2">
        <v>0</v>
      </c>
      <c r="H879" s="2">
        <v>24406</v>
      </c>
    </row>
    <row r="880" spans="1:8" x14ac:dyDescent="0.3">
      <c r="A880" t="s">
        <v>939</v>
      </c>
      <c r="B880" t="s">
        <v>875</v>
      </c>
      <c r="C880" t="s">
        <v>876</v>
      </c>
      <c r="D880" t="s">
        <v>721</v>
      </c>
      <c r="E880" t="s">
        <v>722</v>
      </c>
      <c r="F880" t="str">
        <f>IFERROR(INDEX(Aux!E:E,MATCH(Dados!E880,Aux!D:D,0)),INDEX(Aux!K:K,MATCH(Dados!B880,Aux!I:I,0)))</f>
        <v>Direita</v>
      </c>
      <c r="G880" s="2">
        <v>0</v>
      </c>
      <c r="H880" s="2">
        <v>9030</v>
      </c>
    </row>
    <row r="881" spans="1:8" x14ac:dyDescent="0.3">
      <c r="A881" t="s">
        <v>939</v>
      </c>
      <c r="B881" t="s">
        <v>871</v>
      </c>
      <c r="C881" t="s">
        <v>872</v>
      </c>
      <c r="D881" t="s">
        <v>672</v>
      </c>
      <c r="E881" t="s">
        <v>673</v>
      </c>
      <c r="F881" t="str">
        <f>IFERROR(INDEX(Aux!E:E,MATCH(Dados!E881,Aux!D:D,0)),INDEX(Aux!K:K,MATCH(Dados!B881,Aux!I:I,0)))</f>
        <v>Esquerda</v>
      </c>
      <c r="G881" s="2">
        <v>0</v>
      </c>
      <c r="H881" s="2">
        <v>8298</v>
      </c>
    </row>
    <row r="882" spans="1:8" x14ac:dyDescent="0.3">
      <c r="A882" t="s">
        <v>939</v>
      </c>
      <c r="B882" t="s">
        <v>817</v>
      </c>
      <c r="C882" t="s">
        <v>818</v>
      </c>
      <c r="D882" t="s">
        <v>721</v>
      </c>
      <c r="E882" t="s">
        <v>722</v>
      </c>
      <c r="F882" t="str">
        <f>IFERROR(INDEX(Aux!E:E,MATCH(Dados!E882,Aux!D:D,0)),INDEX(Aux!K:K,MATCH(Dados!B882,Aux!I:I,0)))</f>
        <v>Direita</v>
      </c>
      <c r="G882" s="2">
        <v>0</v>
      </c>
      <c r="H882" s="2">
        <v>23327</v>
      </c>
    </row>
    <row r="883" spans="1:8" x14ac:dyDescent="0.3">
      <c r="A883" t="s">
        <v>939</v>
      </c>
      <c r="B883" t="s">
        <v>787</v>
      </c>
      <c r="C883" t="s">
        <v>788</v>
      </c>
      <c r="D883" t="s">
        <v>794</v>
      </c>
      <c r="E883" t="s">
        <v>795</v>
      </c>
      <c r="F883" t="str">
        <f>IFERROR(INDEX(Aux!E:E,MATCH(Dados!E883,Aux!D:D,0)),INDEX(Aux!K:K,MATCH(Dados!B883,Aux!I:I,0)))</f>
        <v>Centro direita</v>
      </c>
      <c r="G883" s="2">
        <v>0</v>
      </c>
      <c r="H883" s="2">
        <v>5829</v>
      </c>
    </row>
    <row r="884" spans="1:8" x14ac:dyDescent="0.3">
      <c r="A884" t="s">
        <v>939</v>
      </c>
      <c r="B884" t="s">
        <v>864</v>
      </c>
      <c r="C884" t="s">
        <v>865</v>
      </c>
      <c r="D884" t="s">
        <v>239</v>
      </c>
      <c r="E884" t="s">
        <v>452</v>
      </c>
      <c r="F884" t="str">
        <f>IFERROR(INDEX(Aux!E:E,MATCH(Dados!E884,Aux!D:D,0)),INDEX(Aux!K:K,MATCH(Dados!B884,Aux!I:I,0)))</f>
        <v>Centro</v>
      </c>
      <c r="G884" s="2">
        <v>0</v>
      </c>
      <c r="H884" s="2">
        <v>9949</v>
      </c>
    </row>
    <row r="885" spans="1:8" x14ac:dyDescent="0.3">
      <c r="A885" t="s">
        <v>939</v>
      </c>
      <c r="B885" t="s">
        <v>206</v>
      </c>
      <c r="C885" t="s">
        <v>207</v>
      </c>
      <c r="D885" t="s">
        <v>100</v>
      </c>
      <c r="E885" t="s">
        <v>206</v>
      </c>
      <c r="F885" t="str">
        <f>IFERROR(INDEX(Aux!E:E,MATCH(Dados!E885,Aux!D:D,0)),INDEX(Aux!K:K,MATCH(Dados!B885,Aux!I:I,0)))</f>
        <v>Centro direita</v>
      </c>
      <c r="G885" s="2">
        <v>0</v>
      </c>
      <c r="H885" s="2">
        <v>6059</v>
      </c>
    </row>
    <row r="886" spans="1:8" x14ac:dyDescent="0.3">
      <c r="A886" t="s">
        <v>939</v>
      </c>
      <c r="B886" t="s">
        <v>756</v>
      </c>
      <c r="C886" t="s">
        <v>757</v>
      </c>
      <c r="D886" t="s">
        <v>100</v>
      </c>
      <c r="E886" t="s">
        <v>756</v>
      </c>
      <c r="F886" t="str">
        <f>IFERROR(INDEX(Aux!E:E,MATCH(Dados!E886,Aux!D:D,0)),INDEX(Aux!K:K,MATCH(Dados!B886,Aux!I:I,0)))</f>
        <v>Centro direita</v>
      </c>
      <c r="G886" s="2">
        <v>0</v>
      </c>
      <c r="H886" s="2">
        <v>23348</v>
      </c>
    </row>
    <row r="887" spans="1:8" x14ac:dyDescent="0.3">
      <c r="A887" t="s">
        <v>939</v>
      </c>
      <c r="B887" t="s">
        <v>783</v>
      </c>
      <c r="C887" t="s">
        <v>784</v>
      </c>
      <c r="D887" t="s">
        <v>155</v>
      </c>
      <c r="E887" t="s">
        <v>156</v>
      </c>
      <c r="F887" t="str">
        <f>IFERROR(INDEX(Aux!E:E,MATCH(Dados!E887,Aux!D:D,0)),INDEX(Aux!K:K,MATCH(Dados!B887,Aux!I:I,0)))</f>
        <v>Esquerda</v>
      </c>
      <c r="G887" s="2">
        <v>0</v>
      </c>
      <c r="H887" s="2">
        <v>7556</v>
      </c>
    </row>
    <row r="888" spans="1:8" x14ac:dyDescent="0.3">
      <c r="A888" t="s">
        <v>939</v>
      </c>
      <c r="B888" t="s">
        <v>770</v>
      </c>
      <c r="C888" t="s">
        <v>771</v>
      </c>
      <c r="D888" t="s">
        <v>566</v>
      </c>
      <c r="E888" t="s">
        <v>567</v>
      </c>
      <c r="F888" t="str">
        <f>IFERROR(INDEX(Aux!E:E,MATCH(Dados!E888,Aux!D:D,0)),INDEX(Aux!K:K,MATCH(Dados!B888,Aux!I:I,0)))</f>
        <v>Esquerda</v>
      </c>
      <c r="G888" s="2">
        <v>0</v>
      </c>
      <c r="H888" s="2">
        <v>20668</v>
      </c>
    </row>
    <row r="889" spans="1:8" x14ac:dyDescent="0.3">
      <c r="A889" t="s">
        <v>939</v>
      </c>
      <c r="B889" t="s">
        <v>857</v>
      </c>
      <c r="C889" t="s">
        <v>858</v>
      </c>
      <c r="D889" t="s">
        <v>794</v>
      </c>
      <c r="E889" t="s">
        <v>795</v>
      </c>
      <c r="F889" t="str">
        <f>IFERROR(INDEX(Aux!E:E,MATCH(Dados!E889,Aux!D:D,0)),INDEX(Aux!K:K,MATCH(Dados!B889,Aux!I:I,0)))</f>
        <v>Centro direita</v>
      </c>
      <c r="G889" s="2">
        <v>0</v>
      </c>
      <c r="H889" s="2">
        <v>44575</v>
      </c>
    </row>
    <row r="890" spans="1:8" x14ac:dyDescent="0.3">
      <c r="A890" t="s">
        <v>939</v>
      </c>
      <c r="B890" t="s">
        <v>716</v>
      </c>
      <c r="C890" t="s">
        <v>717</v>
      </c>
      <c r="D890" t="s">
        <v>721</v>
      </c>
      <c r="E890" t="s">
        <v>722</v>
      </c>
      <c r="F890" t="str">
        <f>IFERROR(INDEX(Aux!E:E,MATCH(Dados!E890,Aux!D:D,0)),INDEX(Aux!K:K,MATCH(Dados!B890,Aux!I:I,0)))</f>
        <v>Direita</v>
      </c>
      <c r="G890" s="2">
        <v>0</v>
      </c>
      <c r="H890" s="2">
        <v>6247</v>
      </c>
    </row>
    <row r="891" spans="1:8" x14ac:dyDescent="0.3">
      <c r="A891" t="s">
        <v>939</v>
      </c>
      <c r="B891" t="s">
        <v>690</v>
      </c>
      <c r="C891" t="s">
        <v>691</v>
      </c>
      <c r="D891" t="s">
        <v>239</v>
      </c>
      <c r="E891" t="s">
        <v>452</v>
      </c>
      <c r="F891" t="str">
        <f>IFERROR(INDEX(Aux!E:E,MATCH(Dados!E891,Aux!D:D,0)),INDEX(Aux!K:K,MATCH(Dados!B891,Aux!I:I,0)))</f>
        <v>Centro</v>
      </c>
      <c r="G891" s="2">
        <v>0</v>
      </c>
      <c r="H891" s="2">
        <v>7733</v>
      </c>
    </row>
    <row r="892" spans="1:8" x14ac:dyDescent="0.3">
      <c r="A892" t="s">
        <v>939</v>
      </c>
      <c r="B892" t="s">
        <v>664</v>
      </c>
      <c r="C892" t="s">
        <v>665</v>
      </c>
      <c r="D892" t="s">
        <v>672</v>
      </c>
      <c r="E892" t="s">
        <v>673</v>
      </c>
      <c r="F892" t="str">
        <f>IFERROR(INDEX(Aux!E:E,MATCH(Dados!E892,Aux!D:D,0)),INDEX(Aux!K:K,MATCH(Dados!B892,Aux!I:I,0)))</f>
        <v>Esquerda</v>
      </c>
      <c r="G892" s="2">
        <v>0</v>
      </c>
      <c r="H892" s="2">
        <v>15330</v>
      </c>
    </row>
    <row r="893" spans="1:8" x14ac:dyDescent="0.3">
      <c r="A893" t="s">
        <v>939</v>
      </c>
      <c r="B893" t="s">
        <v>488</v>
      </c>
      <c r="C893" t="s">
        <v>489</v>
      </c>
      <c r="D893" t="s">
        <v>100</v>
      </c>
      <c r="E893" t="s">
        <v>488</v>
      </c>
      <c r="F893" t="str">
        <f>IFERROR(INDEX(Aux!E:E,MATCH(Dados!E893,Aux!D:D,0)),INDEX(Aux!K:K,MATCH(Dados!B893,Aux!I:I,0)))</f>
        <v>Esquerda</v>
      </c>
      <c r="G893" s="2">
        <v>0</v>
      </c>
      <c r="H893" s="2">
        <v>16695</v>
      </c>
    </row>
    <row r="894" spans="1:8" x14ac:dyDescent="0.3">
      <c r="A894" t="s">
        <v>939</v>
      </c>
      <c r="B894" t="s">
        <v>641</v>
      </c>
      <c r="C894" t="s">
        <v>642</v>
      </c>
      <c r="D894" t="s">
        <v>100</v>
      </c>
      <c r="E894" t="s">
        <v>641</v>
      </c>
      <c r="F894" t="str">
        <f>IFERROR(INDEX(Aux!E:E,MATCH(Dados!E894,Aux!D:D,0)),INDEX(Aux!K:K,MATCH(Dados!B894,Aux!I:I,0)))</f>
        <v>Centro direita</v>
      </c>
      <c r="G894" s="2">
        <v>0</v>
      </c>
      <c r="H894" s="2">
        <v>20124</v>
      </c>
    </row>
    <row r="895" spans="1:8" x14ac:dyDescent="0.3">
      <c r="A895" t="s">
        <v>939</v>
      </c>
      <c r="B895" t="s">
        <v>599</v>
      </c>
      <c r="C895" t="s">
        <v>600</v>
      </c>
      <c r="D895" t="s">
        <v>40</v>
      </c>
      <c r="E895" t="s">
        <v>41</v>
      </c>
      <c r="F895" t="str">
        <f>IFERROR(INDEX(Aux!E:E,MATCH(Dados!E895,Aux!D:D,0)),INDEX(Aux!K:K,MATCH(Dados!B895,Aux!I:I,0)))</f>
        <v>Centro</v>
      </c>
      <c r="G895" s="2">
        <v>0</v>
      </c>
      <c r="H895" s="2">
        <v>18452</v>
      </c>
    </row>
    <row r="896" spans="1:8" x14ac:dyDescent="0.3">
      <c r="A896" t="s">
        <v>939</v>
      </c>
      <c r="B896" t="s">
        <v>831</v>
      </c>
      <c r="C896" t="s">
        <v>832</v>
      </c>
      <c r="D896" t="s">
        <v>837</v>
      </c>
      <c r="E896" t="s">
        <v>838</v>
      </c>
      <c r="F896" t="str">
        <f>IFERROR(INDEX(Aux!E:E,MATCH(Dados!E896,Aux!D:D,0)),INDEX(Aux!K:K,MATCH(Dados!B896,Aux!I:I,0)))</f>
        <v>Centro</v>
      </c>
      <c r="G896" s="2">
        <v>0</v>
      </c>
      <c r="H896" s="2">
        <v>15912</v>
      </c>
    </row>
    <row r="897" spans="1:8" x14ac:dyDescent="0.3">
      <c r="A897" t="s">
        <v>939</v>
      </c>
      <c r="B897" t="s">
        <v>558</v>
      </c>
      <c r="C897" t="s">
        <v>559</v>
      </c>
      <c r="D897" t="s">
        <v>566</v>
      </c>
      <c r="E897" t="s">
        <v>567</v>
      </c>
      <c r="F897" t="str">
        <f>IFERROR(INDEX(Aux!E:E,MATCH(Dados!E897,Aux!D:D,0)),INDEX(Aux!K:K,MATCH(Dados!B897,Aux!I:I,0)))</f>
        <v>Esquerda</v>
      </c>
      <c r="G897" s="2">
        <v>0</v>
      </c>
      <c r="H897" s="2">
        <v>1353</v>
      </c>
    </row>
    <row r="898" spans="1:8" x14ac:dyDescent="0.3">
      <c r="A898" t="s">
        <v>939</v>
      </c>
      <c r="B898" t="s">
        <v>440</v>
      </c>
      <c r="C898" t="s">
        <v>441</v>
      </c>
      <c r="D898" t="s">
        <v>239</v>
      </c>
      <c r="E898" t="s">
        <v>452</v>
      </c>
      <c r="F898" t="str">
        <f>IFERROR(INDEX(Aux!E:E,MATCH(Dados!E898,Aux!D:D,0)),INDEX(Aux!K:K,MATCH(Dados!B898,Aux!I:I,0)))</f>
        <v>Centro</v>
      </c>
      <c r="G898" s="2">
        <v>0</v>
      </c>
      <c r="H898" s="2">
        <v>13673</v>
      </c>
    </row>
    <row r="899" spans="1:8" x14ac:dyDescent="0.3">
      <c r="A899" t="s">
        <v>939</v>
      </c>
      <c r="B899" t="s">
        <v>388</v>
      </c>
      <c r="C899" t="s">
        <v>389</v>
      </c>
      <c r="D899" t="s">
        <v>100</v>
      </c>
      <c r="E899" t="s">
        <v>388</v>
      </c>
      <c r="F899" t="str">
        <f>IFERROR(INDEX(Aux!E:E,MATCH(Dados!E899,Aux!D:D,0)),INDEX(Aux!K:K,MATCH(Dados!B899,Aux!I:I,0)))</f>
        <v>Centro direita</v>
      </c>
      <c r="G899" s="2">
        <v>0</v>
      </c>
      <c r="H899" s="2">
        <v>25866</v>
      </c>
    </row>
    <row r="900" spans="1:8" x14ac:dyDescent="0.3">
      <c r="A900" t="s">
        <v>939</v>
      </c>
      <c r="B900" t="s">
        <v>135</v>
      </c>
      <c r="C900" t="s">
        <v>136</v>
      </c>
      <c r="D900" t="s">
        <v>155</v>
      </c>
      <c r="E900" t="s">
        <v>156</v>
      </c>
      <c r="F900" t="str">
        <f>IFERROR(INDEX(Aux!E:E,MATCH(Dados!E900,Aux!D:D,0)),INDEX(Aux!K:K,MATCH(Dados!B900,Aux!I:I,0)))</f>
        <v>Esquerda</v>
      </c>
      <c r="G900" s="2">
        <v>0</v>
      </c>
      <c r="H900" s="2">
        <v>22372</v>
      </c>
    </row>
    <row r="901" spans="1:8" x14ac:dyDescent="0.3">
      <c r="A901" t="s">
        <v>939</v>
      </c>
      <c r="B901" t="s">
        <v>4</v>
      </c>
      <c r="C901" t="s">
        <v>5</v>
      </c>
      <c r="D901" t="s">
        <v>40</v>
      </c>
      <c r="E901" t="s">
        <v>41</v>
      </c>
      <c r="F901" t="str">
        <f>IFERROR(INDEX(Aux!E:E,MATCH(Dados!E901,Aux!D:D,0)),INDEX(Aux!K:K,MATCH(Dados!B901,Aux!I:I,0)))</f>
        <v>Centro</v>
      </c>
      <c r="G901" s="2">
        <v>0</v>
      </c>
      <c r="H901" s="2">
        <v>7518</v>
      </c>
    </row>
    <row r="902" spans="1:8" x14ac:dyDescent="0.3">
      <c r="A902" t="s">
        <v>931</v>
      </c>
      <c r="B902" t="s">
        <v>902</v>
      </c>
      <c r="C902" t="s">
        <v>902</v>
      </c>
      <c r="D902" t="s">
        <v>668</v>
      </c>
      <c r="E902" t="s">
        <v>669</v>
      </c>
      <c r="F902" t="str">
        <f>IFERROR(INDEX(Aux!E:E,MATCH(Dados!E902,Aux!D:D,0)),INDEX(Aux!K:K,MATCH(Dados!B902,Aux!I:I,0)))</f>
        <v>Centro</v>
      </c>
      <c r="G902" s="2">
        <v>0</v>
      </c>
      <c r="H902" s="2">
        <v>66810</v>
      </c>
    </row>
    <row r="903" spans="1:8" x14ac:dyDescent="0.3">
      <c r="A903" t="s">
        <v>931</v>
      </c>
      <c r="B903" t="s">
        <v>893</v>
      </c>
      <c r="C903" t="s">
        <v>894</v>
      </c>
      <c r="D903" t="s">
        <v>609</v>
      </c>
      <c r="E903" t="s">
        <v>610</v>
      </c>
      <c r="F903" t="str">
        <f>IFERROR(INDEX(Aux!E:E,MATCH(Dados!E903,Aux!D:D,0)),INDEX(Aux!K:K,MATCH(Dados!B903,Aux!I:I,0)))</f>
        <v>Indefinido</v>
      </c>
      <c r="G903" s="2">
        <v>0</v>
      </c>
      <c r="H903" s="2">
        <v>39123</v>
      </c>
    </row>
    <row r="904" spans="1:8" x14ac:dyDescent="0.3">
      <c r="A904" t="s">
        <v>931</v>
      </c>
      <c r="B904" t="s">
        <v>817</v>
      </c>
      <c r="C904" t="s">
        <v>818</v>
      </c>
      <c r="D904" t="s">
        <v>668</v>
      </c>
      <c r="E904" t="s">
        <v>669</v>
      </c>
      <c r="F904" t="str">
        <f>IFERROR(INDEX(Aux!E:E,MATCH(Dados!E904,Aux!D:D,0)),INDEX(Aux!K:K,MATCH(Dados!B904,Aux!I:I,0)))</f>
        <v>Centro</v>
      </c>
      <c r="G904" s="2">
        <v>0</v>
      </c>
      <c r="H904" s="2">
        <v>43655</v>
      </c>
    </row>
    <row r="905" spans="1:8" x14ac:dyDescent="0.3">
      <c r="A905" t="s">
        <v>931</v>
      </c>
      <c r="B905" t="s">
        <v>787</v>
      </c>
      <c r="C905" t="s">
        <v>788</v>
      </c>
      <c r="D905" t="s">
        <v>446</v>
      </c>
      <c r="E905" t="s">
        <v>447</v>
      </c>
      <c r="F905" t="str">
        <f>IFERROR(INDEX(Aux!E:E,MATCH(Dados!E905,Aux!D:D,0)),INDEX(Aux!K:K,MATCH(Dados!B905,Aux!I:I,0)))</f>
        <v>Centro direita</v>
      </c>
      <c r="G905" s="2">
        <v>0</v>
      </c>
      <c r="H905" s="2">
        <v>116841</v>
      </c>
    </row>
    <row r="906" spans="1:8" x14ac:dyDescent="0.3">
      <c r="A906" t="s">
        <v>931</v>
      </c>
      <c r="B906" t="s">
        <v>864</v>
      </c>
      <c r="C906" t="s">
        <v>865</v>
      </c>
      <c r="D906" t="s">
        <v>502</v>
      </c>
      <c r="E906" t="s">
        <v>503</v>
      </c>
      <c r="F906" t="str">
        <f>IFERROR(INDEX(Aux!E:E,MATCH(Dados!E906,Aux!D:D,0)),INDEX(Aux!K:K,MATCH(Dados!B906,Aux!I:I,0)))</f>
        <v>Centro</v>
      </c>
      <c r="G906" s="2">
        <v>0</v>
      </c>
      <c r="H906" s="2">
        <v>1208</v>
      </c>
    </row>
    <row r="907" spans="1:8" x14ac:dyDescent="0.3">
      <c r="A907" t="s">
        <v>931</v>
      </c>
      <c r="B907" t="s">
        <v>866</v>
      </c>
      <c r="C907" t="s">
        <v>867</v>
      </c>
      <c r="D907" t="s">
        <v>100</v>
      </c>
      <c r="E907" t="s">
        <v>866</v>
      </c>
      <c r="F907" t="str">
        <f>IFERROR(INDEX(Aux!E:E,MATCH(Dados!E907,Aux!D:D,0)),INDEX(Aux!K:K,MATCH(Dados!B907,Aux!I:I,0)))</f>
        <v>Centro esquerda</v>
      </c>
      <c r="G907" s="2">
        <v>0</v>
      </c>
      <c r="H907" s="2">
        <v>45377</v>
      </c>
    </row>
    <row r="908" spans="1:8" x14ac:dyDescent="0.3">
      <c r="A908" t="s">
        <v>931</v>
      </c>
      <c r="B908" t="s">
        <v>206</v>
      </c>
      <c r="C908" t="s">
        <v>207</v>
      </c>
      <c r="D908" t="s">
        <v>206</v>
      </c>
      <c r="E908" t="s">
        <v>206</v>
      </c>
      <c r="F908" t="str">
        <f>IFERROR(INDEX(Aux!E:E,MATCH(Dados!E908,Aux!D:D,0)),INDEX(Aux!K:K,MATCH(Dados!B908,Aux!I:I,0)))</f>
        <v>Centro direita</v>
      </c>
      <c r="G908" s="2">
        <v>0</v>
      </c>
      <c r="H908" s="2">
        <v>79285</v>
      </c>
    </row>
    <row r="909" spans="1:8" x14ac:dyDescent="0.3">
      <c r="A909" t="s">
        <v>931</v>
      </c>
      <c r="B909" t="s">
        <v>756</v>
      </c>
      <c r="C909" t="s">
        <v>757</v>
      </c>
      <c r="D909" t="s">
        <v>26</v>
      </c>
      <c r="E909" t="s">
        <v>27</v>
      </c>
      <c r="F909" t="str">
        <f>IFERROR(INDEX(Aux!E:E,MATCH(Dados!E909,Aux!D:D,0)),INDEX(Aux!K:K,MATCH(Dados!B909,Aux!I:I,0)))</f>
        <v>Centro direita</v>
      </c>
      <c r="G909" s="2">
        <v>0</v>
      </c>
      <c r="H909" s="2">
        <v>162867</v>
      </c>
    </row>
    <row r="910" spans="1:8" x14ac:dyDescent="0.3">
      <c r="A910" t="s">
        <v>931</v>
      </c>
      <c r="B910" t="s">
        <v>783</v>
      </c>
      <c r="C910" t="s">
        <v>784</v>
      </c>
      <c r="D910" t="s">
        <v>26</v>
      </c>
      <c r="E910" t="s">
        <v>27</v>
      </c>
      <c r="F910" t="str">
        <f>IFERROR(INDEX(Aux!E:E,MATCH(Dados!E910,Aux!D:D,0)),INDEX(Aux!K:K,MATCH(Dados!B910,Aux!I:I,0)))</f>
        <v>Centro direita</v>
      </c>
      <c r="G910" s="2">
        <v>0</v>
      </c>
      <c r="H910" s="2">
        <v>1130</v>
      </c>
    </row>
    <row r="911" spans="1:8" x14ac:dyDescent="0.3">
      <c r="A911" t="s">
        <v>931</v>
      </c>
      <c r="B911" t="s">
        <v>770</v>
      </c>
      <c r="C911" t="s">
        <v>771</v>
      </c>
      <c r="D911" t="s">
        <v>100</v>
      </c>
      <c r="E911" t="s">
        <v>770</v>
      </c>
      <c r="F911" t="str">
        <f>IFERROR(INDEX(Aux!E:E,MATCH(Dados!E911,Aux!D:D,0)),INDEX(Aux!K:K,MATCH(Dados!B911,Aux!I:I,0)))</f>
        <v>Esquerda</v>
      </c>
      <c r="G911" s="2">
        <v>0</v>
      </c>
      <c r="H911" s="2">
        <v>103062</v>
      </c>
    </row>
    <row r="912" spans="1:8" x14ac:dyDescent="0.3">
      <c r="A912" t="s">
        <v>931</v>
      </c>
      <c r="B912" t="s">
        <v>857</v>
      </c>
      <c r="C912" t="s">
        <v>858</v>
      </c>
      <c r="D912" t="s">
        <v>26</v>
      </c>
      <c r="E912" t="s">
        <v>27</v>
      </c>
      <c r="F912" t="str">
        <f>IFERROR(INDEX(Aux!E:E,MATCH(Dados!E912,Aux!D:D,0)),INDEX(Aux!K:K,MATCH(Dados!B912,Aux!I:I,0)))</f>
        <v>Centro direita</v>
      </c>
      <c r="G912" s="2">
        <v>0</v>
      </c>
      <c r="H912" s="2">
        <v>99617</v>
      </c>
    </row>
    <row r="913" spans="1:8" x14ac:dyDescent="0.3">
      <c r="A913" t="s">
        <v>931</v>
      </c>
      <c r="B913" t="s">
        <v>716</v>
      </c>
      <c r="C913" t="s">
        <v>717</v>
      </c>
      <c r="D913" t="s">
        <v>609</v>
      </c>
      <c r="E913" t="s">
        <v>610</v>
      </c>
      <c r="F913" t="str">
        <f>IFERROR(INDEX(Aux!E:E,MATCH(Dados!E913,Aux!D:D,0)),INDEX(Aux!K:K,MATCH(Dados!B913,Aux!I:I,0)))</f>
        <v>Indefinido</v>
      </c>
      <c r="G913" s="2">
        <v>0</v>
      </c>
      <c r="H913" s="2">
        <v>60003</v>
      </c>
    </row>
    <row r="914" spans="1:8" x14ac:dyDescent="0.3">
      <c r="A914" t="s">
        <v>931</v>
      </c>
      <c r="B914" t="s">
        <v>690</v>
      </c>
      <c r="C914" t="s">
        <v>691</v>
      </c>
      <c r="D914" t="s">
        <v>502</v>
      </c>
      <c r="E914" t="s">
        <v>503</v>
      </c>
      <c r="F914" t="str">
        <f>IFERROR(INDEX(Aux!E:E,MATCH(Dados!E914,Aux!D:D,0)),INDEX(Aux!K:K,MATCH(Dados!B914,Aux!I:I,0)))</f>
        <v>Centro</v>
      </c>
      <c r="G914" s="2">
        <v>0</v>
      </c>
      <c r="H914" s="2">
        <v>6975</v>
      </c>
    </row>
    <row r="915" spans="1:8" x14ac:dyDescent="0.3">
      <c r="A915" t="s">
        <v>931</v>
      </c>
      <c r="B915" t="s">
        <v>664</v>
      </c>
      <c r="C915" t="s">
        <v>665</v>
      </c>
      <c r="D915" t="s">
        <v>668</v>
      </c>
      <c r="E915" t="s">
        <v>669</v>
      </c>
      <c r="F915" t="str">
        <f>IFERROR(INDEX(Aux!E:E,MATCH(Dados!E915,Aux!D:D,0)),INDEX(Aux!K:K,MATCH(Dados!B915,Aux!I:I,0)))</f>
        <v>Centro</v>
      </c>
      <c r="G915" s="2">
        <v>0</v>
      </c>
      <c r="H915" s="2">
        <v>21055</v>
      </c>
    </row>
    <row r="916" spans="1:8" x14ac:dyDescent="0.3">
      <c r="A916" t="s">
        <v>931</v>
      </c>
      <c r="B916" t="s">
        <v>488</v>
      </c>
      <c r="C916" t="s">
        <v>489</v>
      </c>
      <c r="D916" t="s">
        <v>502</v>
      </c>
      <c r="E916" t="s">
        <v>503</v>
      </c>
      <c r="F916" t="str">
        <f>IFERROR(INDEX(Aux!E:E,MATCH(Dados!E916,Aux!D:D,0)),INDEX(Aux!K:K,MATCH(Dados!B916,Aux!I:I,0)))</f>
        <v>Centro</v>
      </c>
      <c r="G916" s="2">
        <v>0</v>
      </c>
      <c r="H916" s="2">
        <v>78344</v>
      </c>
    </row>
    <row r="917" spans="1:8" x14ac:dyDescent="0.3">
      <c r="A917" t="s">
        <v>931</v>
      </c>
      <c r="B917" t="s">
        <v>599</v>
      </c>
      <c r="C917" t="s">
        <v>600</v>
      </c>
      <c r="D917" t="s">
        <v>609</v>
      </c>
      <c r="E917" t="s">
        <v>610</v>
      </c>
      <c r="F917" t="str">
        <f>IFERROR(INDEX(Aux!E:E,MATCH(Dados!E917,Aux!D:D,0)),INDEX(Aux!K:K,MATCH(Dados!B917,Aux!I:I,0)))</f>
        <v>Indefinido</v>
      </c>
      <c r="G917" s="2">
        <v>0</v>
      </c>
      <c r="H917" s="2">
        <v>153632</v>
      </c>
    </row>
    <row r="918" spans="1:8" x14ac:dyDescent="0.3">
      <c r="A918" t="s">
        <v>931</v>
      </c>
      <c r="B918" t="s">
        <v>831</v>
      </c>
      <c r="C918" t="s">
        <v>832</v>
      </c>
      <c r="D918" t="s">
        <v>402</v>
      </c>
      <c r="E918" t="s">
        <v>403</v>
      </c>
      <c r="F918" t="str">
        <f>IFERROR(INDEX(Aux!E:E,MATCH(Dados!E918,Aux!D:D,0)),INDEX(Aux!K:K,MATCH(Dados!B918,Aux!I:I,0)))</f>
        <v>Centro esquerda</v>
      </c>
      <c r="G918" s="2">
        <v>0</v>
      </c>
      <c r="H918" s="2">
        <v>59848</v>
      </c>
    </row>
    <row r="919" spans="1:8" x14ac:dyDescent="0.3">
      <c r="A919" t="s">
        <v>931</v>
      </c>
      <c r="B919" t="s">
        <v>558</v>
      </c>
      <c r="C919" t="s">
        <v>559</v>
      </c>
      <c r="D919" t="s">
        <v>446</v>
      </c>
      <c r="E919" t="s">
        <v>447</v>
      </c>
      <c r="F919" t="str">
        <f>IFERROR(INDEX(Aux!E:E,MATCH(Dados!E919,Aux!D:D,0)),INDEX(Aux!K:K,MATCH(Dados!B919,Aux!I:I,0)))</f>
        <v>Centro direita</v>
      </c>
      <c r="G919" s="2">
        <v>0</v>
      </c>
      <c r="H919" s="2">
        <v>65668</v>
      </c>
    </row>
    <row r="920" spans="1:8" x14ac:dyDescent="0.3">
      <c r="A920" t="s">
        <v>931</v>
      </c>
      <c r="B920" t="s">
        <v>440</v>
      </c>
      <c r="C920" t="s">
        <v>441</v>
      </c>
      <c r="D920" t="s">
        <v>446</v>
      </c>
      <c r="E920" t="s">
        <v>447</v>
      </c>
      <c r="F920" t="str">
        <f>IFERROR(INDEX(Aux!E:E,MATCH(Dados!E920,Aux!D:D,0)),INDEX(Aux!K:K,MATCH(Dados!B920,Aux!I:I,0)))</f>
        <v>Centro direita</v>
      </c>
      <c r="G920" s="2">
        <v>0</v>
      </c>
      <c r="H920" s="2">
        <v>11988</v>
      </c>
    </row>
    <row r="921" spans="1:8" x14ac:dyDescent="0.3">
      <c r="A921" t="s">
        <v>931</v>
      </c>
      <c r="B921" t="s">
        <v>388</v>
      </c>
      <c r="C921" t="s">
        <v>389</v>
      </c>
      <c r="D921" t="s">
        <v>402</v>
      </c>
      <c r="E921" t="s">
        <v>403</v>
      </c>
      <c r="F921" t="str">
        <f>IFERROR(INDEX(Aux!E:E,MATCH(Dados!E921,Aux!D:D,0)),INDEX(Aux!K:K,MATCH(Dados!B921,Aux!I:I,0)))</f>
        <v>Centro esquerda</v>
      </c>
      <c r="G921" s="2">
        <v>0</v>
      </c>
      <c r="H921" s="2">
        <v>17071</v>
      </c>
    </row>
    <row r="922" spans="1:8" x14ac:dyDescent="0.3">
      <c r="A922" t="s">
        <v>931</v>
      </c>
      <c r="B922" t="s">
        <v>334</v>
      </c>
      <c r="C922" t="s">
        <v>335</v>
      </c>
      <c r="D922" t="s">
        <v>100</v>
      </c>
      <c r="E922" t="s">
        <v>334</v>
      </c>
      <c r="F922" t="str">
        <f>IFERROR(INDEX(Aux!E:E,MATCH(Dados!E922,Aux!D:D,0)),INDEX(Aux!K:K,MATCH(Dados!B922,Aux!I:I,0)))</f>
        <v>Centro esquerda</v>
      </c>
      <c r="G922" s="2">
        <v>0</v>
      </c>
      <c r="H922" s="2">
        <v>180610</v>
      </c>
    </row>
    <row r="923" spans="1:8" x14ac:dyDescent="0.3">
      <c r="A923" t="s">
        <v>931</v>
      </c>
      <c r="B923" t="s">
        <v>4</v>
      </c>
      <c r="C923" t="s">
        <v>5</v>
      </c>
      <c r="D923" t="s">
        <v>26</v>
      </c>
      <c r="E923" t="s">
        <v>27</v>
      </c>
      <c r="F923" t="str">
        <f>IFERROR(INDEX(Aux!E:E,MATCH(Dados!E923,Aux!D:D,0)),INDEX(Aux!K:K,MATCH(Dados!B923,Aux!I:I,0)))</f>
        <v>Centro direita</v>
      </c>
      <c r="G923" s="2">
        <v>0</v>
      </c>
      <c r="H923" s="2">
        <v>51037</v>
      </c>
    </row>
    <row r="924" spans="1:8" x14ac:dyDescent="0.3">
      <c r="A924" t="s">
        <v>917</v>
      </c>
      <c r="B924" t="s">
        <v>902</v>
      </c>
      <c r="C924" t="s">
        <v>902</v>
      </c>
      <c r="D924" t="s">
        <v>251</v>
      </c>
      <c r="E924" t="s">
        <v>252</v>
      </c>
      <c r="F924" t="str">
        <f>IFERROR(INDEX(Aux!E:E,MATCH(Dados!E924,Aux!D:D,0)),INDEX(Aux!K:K,MATCH(Dados!B924,Aux!I:I,0)))</f>
        <v>Centro</v>
      </c>
      <c r="G924" s="2">
        <v>0</v>
      </c>
      <c r="H924" s="2">
        <v>115718</v>
      </c>
    </row>
    <row r="925" spans="1:8" x14ac:dyDescent="0.3">
      <c r="A925" t="s">
        <v>917</v>
      </c>
      <c r="B925" t="s">
        <v>893</v>
      </c>
      <c r="C925" t="s">
        <v>894</v>
      </c>
      <c r="D925" t="s">
        <v>371</v>
      </c>
      <c r="E925" t="s">
        <v>372</v>
      </c>
      <c r="F925" t="str">
        <f>IFERROR(INDEX(Aux!E:E,MATCH(Dados!E925,Aux!D:D,0)),INDEX(Aux!K:K,MATCH(Dados!B925,Aux!I:I,0)))</f>
        <v>Indefinido</v>
      </c>
      <c r="G925" s="2">
        <v>0</v>
      </c>
      <c r="H925" s="2">
        <v>585504</v>
      </c>
    </row>
    <row r="926" spans="1:8" x14ac:dyDescent="0.3">
      <c r="A926" t="s">
        <v>917</v>
      </c>
      <c r="B926" t="s">
        <v>282</v>
      </c>
      <c r="C926" t="s">
        <v>283</v>
      </c>
      <c r="D926" t="s">
        <v>188</v>
      </c>
      <c r="E926" t="s">
        <v>189</v>
      </c>
      <c r="F926" t="str">
        <f>IFERROR(INDEX(Aux!E:E,MATCH(Dados!E926,Aux!D:D,0)),INDEX(Aux!K:K,MATCH(Dados!B926,Aux!I:I,0)))</f>
        <v>Direita</v>
      </c>
      <c r="G926" s="2">
        <v>0</v>
      </c>
      <c r="H926" s="2">
        <v>86594</v>
      </c>
    </row>
    <row r="927" spans="1:8" x14ac:dyDescent="0.3">
      <c r="A927" t="s">
        <v>917</v>
      </c>
      <c r="B927" t="s">
        <v>871</v>
      </c>
      <c r="C927" t="s">
        <v>872</v>
      </c>
      <c r="D927" t="s">
        <v>100</v>
      </c>
      <c r="E927" t="s">
        <v>871</v>
      </c>
      <c r="F927" t="str">
        <f>IFERROR(INDEX(Aux!E:E,MATCH(Dados!E927,Aux!D:D,0)),INDEX(Aux!K:K,MATCH(Dados!B927,Aux!I:I,0)))</f>
        <v>Esquerda</v>
      </c>
      <c r="G927" s="2">
        <v>0</v>
      </c>
      <c r="H927" s="2">
        <v>493141</v>
      </c>
    </row>
    <row r="928" spans="1:8" x14ac:dyDescent="0.3">
      <c r="A928" t="s">
        <v>917</v>
      </c>
      <c r="B928" t="s">
        <v>817</v>
      </c>
      <c r="C928" t="s">
        <v>818</v>
      </c>
      <c r="D928" t="s">
        <v>251</v>
      </c>
      <c r="E928" t="s">
        <v>252</v>
      </c>
      <c r="F928" t="str">
        <f>IFERROR(INDEX(Aux!E:E,MATCH(Dados!E928,Aux!D:D,0)),INDEX(Aux!K:K,MATCH(Dados!B928,Aux!I:I,0)))</f>
        <v>Centro</v>
      </c>
      <c r="G928" s="2">
        <v>0</v>
      </c>
      <c r="H928" s="2">
        <v>253782</v>
      </c>
    </row>
    <row r="929" spans="1:8" x14ac:dyDescent="0.3">
      <c r="A929" t="s">
        <v>917</v>
      </c>
      <c r="B929" t="s">
        <v>864</v>
      </c>
      <c r="C929" t="s">
        <v>865</v>
      </c>
      <c r="D929" t="s">
        <v>251</v>
      </c>
      <c r="E929" t="s">
        <v>252</v>
      </c>
      <c r="F929" t="str">
        <f>IFERROR(INDEX(Aux!E:E,MATCH(Dados!E929,Aux!D:D,0)),INDEX(Aux!K:K,MATCH(Dados!B929,Aux!I:I,0)))</f>
        <v>Centro</v>
      </c>
      <c r="G929" s="2">
        <v>0</v>
      </c>
      <c r="H929" s="2">
        <v>29056</v>
      </c>
    </row>
    <row r="930" spans="1:8" x14ac:dyDescent="0.3">
      <c r="A930" t="s">
        <v>917</v>
      </c>
      <c r="B930" t="s">
        <v>866</v>
      </c>
      <c r="C930" t="s">
        <v>867</v>
      </c>
      <c r="D930" t="s">
        <v>434</v>
      </c>
      <c r="E930" t="s">
        <v>435</v>
      </c>
      <c r="F930" t="str">
        <f>IFERROR(INDEX(Aux!E:E,MATCH(Dados!E930,Aux!D:D,0)),INDEX(Aux!K:K,MATCH(Dados!B930,Aux!I:I,0)))</f>
        <v>Centro esquerda</v>
      </c>
      <c r="G930" s="2">
        <v>0</v>
      </c>
      <c r="H930" s="2">
        <v>1248</v>
      </c>
    </row>
    <row r="931" spans="1:8" x14ac:dyDescent="0.3">
      <c r="A931" t="s">
        <v>917</v>
      </c>
      <c r="B931" t="s">
        <v>206</v>
      </c>
      <c r="C931" t="s">
        <v>207</v>
      </c>
      <c r="D931" t="s">
        <v>251</v>
      </c>
      <c r="E931" t="s">
        <v>252</v>
      </c>
      <c r="F931" t="str">
        <f>IFERROR(INDEX(Aux!E:E,MATCH(Dados!E931,Aux!D:D,0)),INDEX(Aux!K:K,MATCH(Dados!B931,Aux!I:I,0)))</f>
        <v>Centro</v>
      </c>
      <c r="G931" s="2">
        <v>0</v>
      </c>
      <c r="H931" s="2">
        <v>115819</v>
      </c>
    </row>
    <row r="932" spans="1:8" x14ac:dyDescent="0.3">
      <c r="A932" t="s">
        <v>917</v>
      </c>
      <c r="B932" t="s">
        <v>756</v>
      </c>
      <c r="C932" t="s">
        <v>757</v>
      </c>
      <c r="D932" t="s">
        <v>251</v>
      </c>
      <c r="E932" t="s">
        <v>252</v>
      </c>
      <c r="F932" t="str">
        <f>IFERROR(INDEX(Aux!E:E,MATCH(Dados!E932,Aux!D:D,0)),INDEX(Aux!K:K,MATCH(Dados!B932,Aux!I:I,0)))</f>
        <v>Centro</v>
      </c>
      <c r="G932" s="2">
        <v>0</v>
      </c>
      <c r="H932" s="2">
        <v>558616</v>
      </c>
    </row>
    <row r="933" spans="1:8" x14ac:dyDescent="0.3">
      <c r="A933" t="s">
        <v>917</v>
      </c>
      <c r="B933" t="s">
        <v>783</v>
      </c>
      <c r="C933" t="s">
        <v>784</v>
      </c>
      <c r="D933" t="s">
        <v>482</v>
      </c>
      <c r="E933" t="s">
        <v>483</v>
      </c>
      <c r="F933" t="str">
        <f>IFERROR(INDEX(Aux!E:E,MATCH(Dados!E933,Aux!D:D,0)),INDEX(Aux!K:K,MATCH(Dados!B933,Aux!I:I,0)))</f>
        <v>Esquerda</v>
      </c>
      <c r="G933" s="2">
        <v>0</v>
      </c>
      <c r="H933" s="2">
        <v>64506</v>
      </c>
    </row>
    <row r="934" spans="1:8" x14ac:dyDescent="0.3">
      <c r="A934" t="s">
        <v>917</v>
      </c>
      <c r="B934" t="s">
        <v>857</v>
      </c>
      <c r="C934" t="s">
        <v>858</v>
      </c>
      <c r="D934" t="s">
        <v>251</v>
      </c>
      <c r="E934" t="s">
        <v>252</v>
      </c>
      <c r="F934" t="str">
        <f>IFERROR(INDEX(Aux!E:E,MATCH(Dados!E934,Aux!D:D,0)),INDEX(Aux!K:K,MATCH(Dados!B934,Aux!I:I,0)))</f>
        <v>Centro</v>
      </c>
      <c r="G934" s="2">
        <v>0</v>
      </c>
      <c r="H934" s="2">
        <v>192114</v>
      </c>
    </row>
    <row r="935" spans="1:8" x14ac:dyDescent="0.3">
      <c r="A935" t="s">
        <v>917</v>
      </c>
      <c r="B935" t="s">
        <v>716</v>
      </c>
      <c r="C935" t="s">
        <v>717</v>
      </c>
      <c r="D935" t="s">
        <v>371</v>
      </c>
      <c r="E935" t="s">
        <v>372</v>
      </c>
      <c r="F935" t="str">
        <f>IFERROR(INDEX(Aux!E:E,MATCH(Dados!E935,Aux!D:D,0)),INDEX(Aux!K:K,MATCH(Dados!B935,Aux!I:I,0)))</f>
        <v>Indefinido</v>
      </c>
      <c r="G935" s="2">
        <v>0</v>
      </c>
      <c r="H935" s="2">
        <v>134577</v>
      </c>
    </row>
    <row r="936" spans="1:8" x14ac:dyDescent="0.3">
      <c r="A936" t="s">
        <v>917</v>
      </c>
      <c r="B936" t="s">
        <v>690</v>
      </c>
      <c r="C936" t="s">
        <v>691</v>
      </c>
      <c r="D936" t="s">
        <v>100</v>
      </c>
      <c r="E936" t="s">
        <v>690</v>
      </c>
      <c r="F936" t="str">
        <f>IFERROR(INDEX(Aux!E:E,MATCH(Dados!E936,Aux!D:D,0)),INDEX(Aux!K:K,MATCH(Dados!B936,Aux!I:I,0)))</f>
        <v>Centro</v>
      </c>
      <c r="G936" s="2">
        <v>0</v>
      </c>
      <c r="H936" s="2">
        <v>2747</v>
      </c>
    </row>
    <row r="937" spans="1:8" x14ac:dyDescent="0.3">
      <c r="A937" t="s">
        <v>917</v>
      </c>
      <c r="B937" t="s">
        <v>664</v>
      </c>
      <c r="C937" t="s">
        <v>665</v>
      </c>
      <c r="D937" t="s">
        <v>251</v>
      </c>
      <c r="E937" t="s">
        <v>252</v>
      </c>
      <c r="F937" t="str">
        <f>IFERROR(INDEX(Aux!E:E,MATCH(Dados!E937,Aux!D:D,0)),INDEX(Aux!K:K,MATCH(Dados!B937,Aux!I:I,0)))</f>
        <v>Centro</v>
      </c>
      <c r="G937" s="2">
        <v>0</v>
      </c>
      <c r="H937" s="2">
        <v>77603</v>
      </c>
    </row>
    <row r="938" spans="1:8" x14ac:dyDescent="0.3">
      <c r="A938" t="s">
        <v>917</v>
      </c>
      <c r="B938" t="s">
        <v>488</v>
      </c>
      <c r="C938" t="s">
        <v>489</v>
      </c>
      <c r="D938" t="s">
        <v>251</v>
      </c>
      <c r="E938" t="s">
        <v>252</v>
      </c>
      <c r="F938" t="str">
        <f>IFERROR(INDEX(Aux!E:E,MATCH(Dados!E938,Aux!D:D,0)),INDEX(Aux!K:K,MATCH(Dados!B938,Aux!I:I,0)))</f>
        <v>Centro</v>
      </c>
      <c r="G938" s="2">
        <v>0</v>
      </c>
      <c r="H938" s="2">
        <v>362238</v>
      </c>
    </row>
    <row r="939" spans="1:8" x14ac:dyDescent="0.3">
      <c r="A939" t="s">
        <v>917</v>
      </c>
      <c r="B939" t="s">
        <v>641</v>
      </c>
      <c r="C939" t="s">
        <v>642</v>
      </c>
      <c r="D939" t="s">
        <v>482</v>
      </c>
      <c r="E939" t="s">
        <v>483</v>
      </c>
      <c r="F939" t="str">
        <f>IFERROR(INDEX(Aux!E:E,MATCH(Dados!E939,Aux!D:D,0)),INDEX(Aux!K:K,MATCH(Dados!B939,Aux!I:I,0)))</f>
        <v>Esquerda</v>
      </c>
      <c r="G939" s="2">
        <v>0</v>
      </c>
      <c r="H939" s="2">
        <v>254464</v>
      </c>
    </row>
    <row r="940" spans="1:8" x14ac:dyDescent="0.3">
      <c r="A940" t="s">
        <v>917</v>
      </c>
      <c r="B940" t="s">
        <v>599</v>
      </c>
      <c r="C940" t="s">
        <v>600</v>
      </c>
      <c r="D940" t="s">
        <v>251</v>
      </c>
      <c r="E940" t="s">
        <v>252</v>
      </c>
      <c r="F940" t="str">
        <f>IFERROR(INDEX(Aux!E:E,MATCH(Dados!E940,Aux!D:D,0)),INDEX(Aux!K:K,MATCH(Dados!B940,Aux!I:I,0)))</f>
        <v>Centro</v>
      </c>
      <c r="G940" s="2">
        <v>0</v>
      </c>
      <c r="H940" s="2">
        <v>791563</v>
      </c>
    </row>
    <row r="941" spans="1:8" x14ac:dyDescent="0.3">
      <c r="A941" t="s">
        <v>917</v>
      </c>
      <c r="B941" t="s">
        <v>831</v>
      </c>
      <c r="C941" t="s">
        <v>832</v>
      </c>
      <c r="D941" t="s">
        <v>371</v>
      </c>
      <c r="E941" t="s">
        <v>372</v>
      </c>
      <c r="F941" t="str">
        <f>IFERROR(INDEX(Aux!E:E,MATCH(Dados!E941,Aux!D:D,0)),INDEX(Aux!K:K,MATCH(Dados!B941,Aux!I:I,0)))</f>
        <v>Indefinido</v>
      </c>
      <c r="G941" s="2">
        <v>0</v>
      </c>
      <c r="H941" s="2">
        <v>286827</v>
      </c>
    </row>
    <row r="942" spans="1:8" x14ac:dyDescent="0.3">
      <c r="A942" t="s">
        <v>917</v>
      </c>
      <c r="B942" t="s">
        <v>799</v>
      </c>
      <c r="C942" t="s">
        <v>800</v>
      </c>
      <c r="D942" t="s">
        <v>251</v>
      </c>
      <c r="E942" t="s">
        <v>252</v>
      </c>
      <c r="F942" t="str">
        <f>IFERROR(INDEX(Aux!E:E,MATCH(Dados!E942,Aux!D:D,0)),INDEX(Aux!K:K,MATCH(Dados!B942,Aux!I:I,0)))</f>
        <v>Centro</v>
      </c>
      <c r="G942" s="2">
        <v>0</v>
      </c>
      <c r="H942" s="2">
        <v>894336</v>
      </c>
    </row>
    <row r="943" spans="1:8" x14ac:dyDescent="0.3">
      <c r="A943" t="s">
        <v>917</v>
      </c>
      <c r="B943" t="s">
        <v>440</v>
      </c>
      <c r="C943" t="s">
        <v>441</v>
      </c>
      <c r="D943" t="s">
        <v>482</v>
      </c>
      <c r="E943" t="s">
        <v>483</v>
      </c>
      <c r="F943" t="str">
        <f>IFERROR(INDEX(Aux!E:E,MATCH(Dados!E943,Aux!D:D,0)),INDEX(Aux!K:K,MATCH(Dados!B943,Aux!I:I,0)))</f>
        <v>Esquerda</v>
      </c>
      <c r="G943" s="2">
        <v>0</v>
      </c>
      <c r="H943" s="2">
        <v>33158</v>
      </c>
    </row>
    <row r="944" spans="1:8" x14ac:dyDescent="0.3">
      <c r="A944" t="s">
        <v>917</v>
      </c>
      <c r="B944" t="s">
        <v>388</v>
      </c>
      <c r="C944" t="s">
        <v>389</v>
      </c>
      <c r="D944" t="s">
        <v>434</v>
      </c>
      <c r="E944" t="s">
        <v>435</v>
      </c>
      <c r="F944" t="str">
        <f>IFERROR(INDEX(Aux!E:E,MATCH(Dados!E944,Aux!D:D,0)),INDEX(Aux!K:K,MATCH(Dados!B944,Aux!I:I,0)))</f>
        <v>Centro esquerda</v>
      </c>
      <c r="G944" s="2">
        <v>0</v>
      </c>
      <c r="H944" s="2">
        <v>77333</v>
      </c>
    </row>
    <row r="945" spans="1:8" x14ac:dyDescent="0.3">
      <c r="A945" t="s">
        <v>917</v>
      </c>
      <c r="B945" t="s">
        <v>334</v>
      </c>
      <c r="C945" t="s">
        <v>335</v>
      </c>
      <c r="D945" t="s">
        <v>371</v>
      </c>
      <c r="E945" t="s">
        <v>372</v>
      </c>
      <c r="F945" t="str">
        <f>IFERROR(INDEX(Aux!E:E,MATCH(Dados!E945,Aux!D:D,0)),INDEX(Aux!K:K,MATCH(Dados!B945,Aux!I:I,0)))</f>
        <v>Indefinido</v>
      </c>
      <c r="G945" s="2">
        <v>0</v>
      </c>
      <c r="H945" s="2">
        <v>36211</v>
      </c>
    </row>
    <row r="946" spans="1:8" x14ac:dyDescent="0.3">
      <c r="A946" t="s">
        <v>917</v>
      </c>
      <c r="B946" t="s">
        <v>135</v>
      </c>
      <c r="C946" t="s">
        <v>136</v>
      </c>
      <c r="D946" t="s">
        <v>188</v>
      </c>
      <c r="E946" t="s">
        <v>189</v>
      </c>
      <c r="F946" t="str">
        <f>IFERROR(INDEX(Aux!E:E,MATCH(Dados!E946,Aux!D:D,0)),INDEX(Aux!K:K,MATCH(Dados!B946,Aux!I:I,0)))</f>
        <v>Direita</v>
      </c>
      <c r="G946" s="2">
        <v>0</v>
      </c>
      <c r="H946" s="2">
        <v>18482</v>
      </c>
    </row>
    <row r="947" spans="1:8" x14ac:dyDescent="0.3">
      <c r="A947" t="s">
        <v>917</v>
      </c>
      <c r="B947" t="s">
        <v>4</v>
      </c>
      <c r="C947" t="s">
        <v>5</v>
      </c>
      <c r="D947" t="s">
        <v>100</v>
      </c>
      <c r="E947" t="s">
        <v>4</v>
      </c>
      <c r="F947" t="str">
        <f>IFERROR(INDEX(Aux!E:E,MATCH(Dados!E947,Aux!D:D,0)),INDEX(Aux!K:K,MATCH(Dados!B947,Aux!I:I,0)))</f>
        <v>Esquerda</v>
      </c>
      <c r="G947" s="2">
        <v>0</v>
      </c>
      <c r="H947" s="2">
        <v>89943</v>
      </c>
    </row>
    <row r="948" spans="1:8" x14ac:dyDescent="0.3">
      <c r="A948" t="s">
        <v>918</v>
      </c>
      <c r="B948" t="s">
        <v>893</v>
      </c>
      <c r="C948" t="s">
        <v>894</v>
      </c>
      <c r="D948" t="s">
        <v>676</v>
      </c>
      <c r="E948" t="s">
        <v>677</v>
      </c>
      <c r="F948" t="str">
        <f>IFERROR(INDEX(Aux!E:E,MATCH(Dados!E948,Aux!D:D,0)),INDEX(Aux!K:K,MATCH(Dados!B948,Aux!I:I,0)))</f>
        <v>Indefinido</v>
      </c>
      <c r="G948" s="2">
        <v>0</v>
      </c>
      <c r="H948" s="2">
        <v>68361</v>
      </c>
    </row>
    <row r="949" spans="1:8" x14ac:dyDescent="0.3">
      <c r="A949" t="s">
        <v>918</v>
      </c>
      <c r="B949" t="s">
        <v>282</v>
      </c>
      <c r="C949" t="s">
        <v>283</v>
      </c>
      <c r="D949" t="s">
        <v>100</v>
      </c>
      <c r="E949" t="s">
        <v>282</v>
      </c>
      <c r="F949" t="str">
        <f>IFERROR(INDEX(Aux!E:E,MATCH(Dados!E949,Aux!D:D,0)),INDEX(Aux!K:K,MATCH(Dados!B949,Aux!I:I,0)))</f>
        <v>Direita</v>
      </c>
      <c r="G949" s="2">
        <v>0</v>
      </c>
      <c r="H949" s="2">
        <v>328617</v>
      </c>
    </row>
    <row r="950" spans="1:8" x14ac:dyDescent="0.3">
      <c r="A950" t="s">
        <v>918</v>
      </c>
      <c r="B950" t="s">
        <v>871</v>
      </c>
      <c r="C950" t="s">
        <v>872</v>
      </c>
      <c r="D950" t="s">
        <v>474</v>
      </c>
      <c r="E950" t="s">
        <v>475</v>
      </c>
      <c r="F950" t="str">
        <f>IFERROR(INDEX(Aux!E:E,MATCH(Dados!E950,Aux!D:D,0)),INDEX(Aux!K:K,MATCH(Dados!B950,Aux!I:I,0)))</f>
        <v>Esquerda</v>
      </c>
      <c r="G950" s="2">
        <v>0</v>
      </c>
      <c r="H950" s="2">
        <v>183610</v>
      </c>
    </row>
    <row r="951" spans="1:8" x14ac:dyDescent="0.3">
      <c r="A951" t="s">
        <v>918</v>
      </c>
      <c r="B951" t="s">
        <v>817</v>
      </c>
      <c r="C951" t="s">
        <v>818</v>
      </c>
      <c r="D951" t="s">
        <v>676</v>
      </c>
      <c r="E951" t="s">
        <v>677</v>
      </c>
      <c r="F951" t="str">
        <f>IFERROR(INDEX(Aux!E:E,MATCH(Dados!E951,Aux!D:D,0)),INDEX(Aux!K:K,MATCH(Dados!B951,Aux!I:I,0)))</f>
        <v>Indefinido</v>
      </c>
      <c r="G951" s="2">
        <v>0</v>
      </c>
      <c r="H951" s="2">
        <v>1232479</v>
      </c>
    </row>
    <row r="952" spans="1:8" x14ac:dyDescent="0.3">
      <c r="A952" t="s">
        <v>918</v>
      </c>
      <c r="B952" t="s">
        <v>866</v>
      </c>
      <c r="C952" t="s">
        <v>867</v>
      </c>
      <c r="D952" t="s">
        <v>100</v>
      </c>
      <c r="E952" t="s">
        <v>866</v>
      </c>
      <c r="F952" t="str">
        <f>IFERROR(INDEX(Aux!E:E,MATCH(Dados!E952,Aux!D:D,0)),INDEX(Aux!K:K,MATCH(Dados!B952,Aux!I:I,0)))</f>
        <v>Centro esquerda</v>
      </c>
      <c r="G952" s="2">
        <v>0</v>
      </c>
      <c r="H952" s="2">
        <v>59074</v>
      </c>
    </row>
    <row r="953" spans="1:8" x14ac:dyDescent="0.3">
      <c r="A953" t="s">
        <v>918</v>
      </c>
      <c r="B953" t="s">
        <v>756</v>
      </c>
      <c r="C953" t="s">
        <v>757</v>
      </c>
      <c r="D953" t="s">
        <v>676</v>
      </c>
      <c r="E953" t="s">
        <v>677</v>
      </c>
      <c r="F953" t="str">
        <f>IFERROR(INDEX(Aux!E:E,MATCH(Dados!E953,Aux!D:D,0)),INDEX(Aux!K:K,MATCH(Dados!B953,Aux!I:I,0)))</f>
        <v>Indefinido</v>
      </c>
      <c r="G953" s="2">
        <v>0</v>
      </c>
      <c r="H953" s="2">
        <v>215727</v>
      </c>
    </row>
    <row r="954" spans="1:8" x14ac:dyDescent="0.3">
      <c r="A954" t="s">
        <v>918</v>
      </c>
      <c r="B954" t="s">
        <v>783</v>
      </c>
      <c r="C954" t="s">
        <v>784</v>
      </c>
      <c r="D954" t="s">
        <v>753</v>
      </c>
      <c r="E954" t="s">
        <v>753</v>
      </c>
      <c r="F954" t="str">
        <f>IFERROR(INDEX(Aux!E:E,MATCH(Dados!E954,Aux!D:D,0)),INDEX(Aux!K:K,MATCH(Dados!B954,Aux!I:I,0)))</f>
        <v>Esquerda</v>
      </c>
      <c r="G954" s="2">
        <v>0</v>
      </c>
      <c r="H954" s="2">
        <v>31706</v>
      </c>
    </row>
    <row r="955" spans="1:8" x14ac:dyDescent="0.3">
      <c r="A955" t="s">
        <v>918</v>
      </c>
      <c r="B955" t="s">
        <v>770</v>
      </c>
      <c r="C955" t="s">
        <v>771</v>
      </c>
      <c r="D955" t="s">
        <v>753</v>
      </c>
      <c r="E955" t="s">
        <v>753</v>
      </c>
      <c r="F955" t="str">
        <f>IFERROR(INDEX(Aux!E:E,MATCH(Dados!E955,Aux!D:D,0)),INDEX(Aux!K:K,MATCH(Dados!B955,Aux!I:I,0)))</f>
        <v>Esquerda</v>
      </c>
      <c r="G955" s="2">
        <v>0</v>
      </c>
      <c r="H955" s="2">
        <v>113179</v>
      </c>
    </row>
    <row r="956" spans="1:8" x14ac:dyDescent="0.3">
      <c r="A956" t="s">
        <v>918</v>
      </c>
      <c r="B956" t="s">
        <v>857</v>
      </c>
      <c r="C956" t="s">
        <v>858</v>
      </c>
      <c r="D956" t="s">
        <v>676</v>
      </c>
      <c r="E956" t="s">
        <v>677</v>
      </c>
      <c r="F956" t="str">
        <f>IFERROR(INDEX(Aux!E:E,MATCH(Dados!E956,Aux!D:D,0)),INDEX(Aux!K:K,MATCH(Dados!B956,Aux!I:I,0)))</f>
        <v>Indefinido</v>
      </c>
      <c r="G956" s="2">
        <v>0</v>
      </c>
      <c r="H956" s="2">
        <v>82492</v>
      </c>
    </row>
    <row r="957" spans="1:8" x14ac:dyDescent="0.3">
      <c r="A957" t="s">
        <v>918</v>
      </c>
      <c r="B957" t="s">
        <v>664</v>
      </c>
      <c r="C957" t="s">
        <v>665</v>
      </c>
      <c r="D957" t="s">
        <v>676</v>
      </c>
      <c r="E957" t="s">
        <v>677</v>
      </c>
      <c r="F957" t="str">
        <f>IFERROR(INDEX(Aux!E:E,MATCH(Dados!E957,Aux!D:D,0)),INDEX(Aux!K:K,MATCH(Dados!B957,Aux!I:I,0)))</f>
        <v>Indefinido</v>
      </c>
      <c r="G957" s="2">
        <v>0</v>
      </c>
      <c r="H957" s="2">
        <v>438</v>
      </c>
    </row>
    <row r="958" spans="1:8" x14ac:dyDescent="0.3">
      <c r="A958" t="s">
        <v>918</v>
      </c>
      <c r="B958" t="s">
        <v>737</v>
      </c>
      <c r="C958" t="s">
        <v>738</v>
      </c>
      <c r="D958" t="s">
        <v>753</v>
      </c>
      <c r="E958" t="s">
        <v>753</v>
      </c>
      <c r="F958" t="str">
        <f>IFERROR(INDEX(Aux!E:E,MATCH(Dados!E958,Aux!D:D,0)),INDEX(Aux!K:K,MATCH(Dados!B958,Aux!I:I,0)))</f>
        <v>Esquerda</v>
      </c>
      <c r="G958" s="2">
        <v>0</v>
      </c>
      <c r="H958" s="2">
        <v>1838</v>
      </c>
    </row>
    <row r="959" spans="1:8" x14ac:dyDescent="0.3">
      <c r="A959" t="s">
        <v>918</v>
      </c>
      <c r="B959" t="s">
        <v>488</v>
      </c>
      <c r="C959" t="s">
        <v>489</v>
      </c>
      <c r="D959" t="s">
        <v>353</v>
      </c>
      <c r="E959" t="s">
        <v>354</v>
      </c>
      <c r="F959" t="str">
        <f>IFERROR(INDEX(Aux!E:E,MATCH(Dados!E959,Aux!D:D,0)),INDEX(Aux!K:K,MATCH(Dados!B959,Aux!I:I,0)))</f>
        <v>Esquerda</v>
      </c>
      <c r="G959" s="2">
        <v>0</v>
      </c>
      <c r="H959" s="2">
        <v>81257</v>
      </c>
    </row>
    <row r="960" spans="1:8" x14ac:dyDescent="0.3">
      <c r="A960" t="s">
        <v>918</v>
      </c>
      <c r="B960" t="s">
        <v>799</v>
      </c>
      <c r="C960" t="s">
        <v>800</v>
      </c>
      <c r="D960" t="s">
        <v>353</v>
      </c>
      <c r="E960" t="s">
        <v>354</v>
      </c>
      <c r="F960" t="str">
        <f>IFERROR(INDEX(Aux!E:E,MATCH(Dados!E960,Aux!D:D,0)),INDEX(Aux!K:K,MATCH(Dados!B960,Aux!I:I,0)))</f>
        <v>Esquerda</v>
      </c>
      <c r="G960" s="2">
        <v>0</v>
      </c>
      <c r="H960" s="2">
        <v>335552</v>
      </c>
    </row>
    <row r="961" spans="1:8" x14ac:dyDescent="0.3">
      <c r="A961" t="s">
        <v>918</v>
      </c>
      <c r="B961" t="s">
        <v>440</v>
      </c>
      <c r="C961" t="s">
        <v>441</v>
      </c>
      <c r="D961" t="s">
        <v>474</v>
      </c>
      <c r="E961" t="s">
        <v>475</v>
      </c>
      <c r="F961" t="str">
        <f>IFERROR(INDEX(Aux!E:E,MATCH(Dados!E961,Aux!D:D,0)),INDEX(Aux!K:K,MATCH(Dados!B961,Aux!I:I,0)))</f>
        <v>Esquerda</v>
      </c>
      <c r="G961" s="2">
        <v>0</v>
      </c>
      <c r="H961" s="2">
        <v>22832</v>
      </c>
    </row>
    <row r="962" spans="1:8" x14ac:dyDescent="0.3">
      <c r="A962" t="s">
        <v>918</v>
      </c>
      <c r="B962" t="s">
        <v>334</v>
      </c>
      <c r="C962" t="s">
        <v>335</v>
      </c>
      <c r="D962" t="s">
        <v>353</v>
      </c>
      <c r="E962" t="s">
        <v>354</v>
      </c>
      <c r="F962" t="str">
        <f>IFERROR(INDEX(Aux!E:E,MATCH(Dados!E962,Aux!D:D,0)),INDEX(Aux!K:K,MATCH(Dados!B962,Aux!I:I,0)))</f>
        <v>Esquerda</v>
      </c>
      <c r="G962" s="2">
        <v>0</v>
      </c>
      <c r="H962" s="2">
        <v>24941</v>
      </c>
    </row>
    <row r="963" spans="1:8" x14ac:dyDescent="0.3">
      <c r="A963" t="s">
        <v>928</v>
      </c>
      <c r="B963" t="s">
        <v>902</v>
      </c>
      <c r="C963" t="s">
        <v>902</v>
      </c>
      <c r="D963" t="s">
        <v>432</v>
      </c>
      <c r="E963" t="s">
        <v>433</v>
      </c>
      <c r="F963" t="str">
        <f>IFERROR(INDEX(Aux!E:E,MATCH(Dados!E963,Aux!D:D,0)),INDEX(Aux!K:K,MATCH(Dados!B963,Aux!I:I,0)))</f>
        <v>Centro</v>
      </c>
      <c r="G963" s="2">
        <v>0</v>
      </c>
      <c r="H963" s="2">
        <v>35780</v>
      </c>
    </row>
    <row r="964" spans="1:8" x14ac:dyDescent="0.3">
      <c r="A964" t="s">
        <v>928</v>
      </c>
      <c r="B964" t="s">
        <v>899</v>
      </c>
      <c r="C964" t="s">
        <v>900</v>
      </c>
      <c r="D964" t="s">
        <v>517</v>
      </c>
      <c r="E964" t="s">
        <v>518</v>
      </c>
      <c r="F964" t="str">
        <f>IFERROR(INDEX(Aux!E:E,MATCH(Dados!E964,Aux!D:D,0)),INDEX(Aux!K:K,MATCH(Dados!B964,Aux!I:I,0)))</f>
        <v>Direita</v>
      </c>
      <c r="G964" s="2">
        <v>0</v>
      </c>
      <c r="H964" s="2">
        <v>33671</v>
      </c>
    </row>
    <row r="965" spans="1:8" x14ac:dyDescent="0.3">
      <c r="A965" t="s">
        <v>928</v>
      </c>
      <c r="B965" t="s">
        <v>893</v>
      </c>
      <c r="C965" t="s">
        <v>894</v>
      </c>
      <c r="D965" t="s">
        <v>623</v>
      </c>
      <c r="E965" t="s">
        <v>624</v>
      </c>
      <c r="F965" t="str">
        <f>IFERROR(INDEX(Aux!E:E,MATCH(Dados!E965,Aux!D:D,0)),INDEX(Aux!K:K,MATCH(Dados!B965,Aux!I:I,0)))</f>
        <v>Indefinido</v>
      </c>
      <c r="G965" s="2">
        <v>0</v>
      </c>
      <c r="H965" s="2">
        <v>40795</v>
      </c>
    </row>
    <row r="966" spans="1:8" x14ac:dyDescent="0.3">
      <c r="A966" t="s">
        <v>928</v>
      </c>
      <c r="B966" t="s">
        <v>875</v>
      </c>
      <c r="C966" t="s">
        <v>876</v>
      </c>
      <c r="D966" t="s">
        <v>100</v>
      </c>
      <c r="E966" t="s">
        <v>875</v>
      </c>
      <c r="F966" t="str">
        <f>IFERROR(INDEX(Aux!E:E,MATCH(Dados!E966,Aux!D:D,0)),INDEX(Aux!K:K,MATCH(Dados!B966,Aux!I:I,0)))</f>
        <v>Centro</v>
      </c>
      <c r="G966" s="2">
        <v>0</v>
      </c>
      <c r="H966" s="2">
        <v>138473</v>
      </c>
    </row>
    <row r="967" spans="1:8" x14ac:dyDescent="0.3">
      <c r="A967" t="s">
        <v>928</v>
      </c>
      <c r="B967" t="s">
        <v>282</v>
      </c>
      <c r="C967" t="s">
        <v>283</v>
      </c>
      <c r="D967" t="s">
        <v>186</v>
      </c>
      <c r="E967" t="s">
        <v>187</v>
      </c>
      <c r="F967" t="str">
        <f>IFERROR(INDEX(Aux!E:E,MATCH(Dados!E967,Aux!D:D,0)),INDEX(Aux!K:K,MATCH(Dados!B967,Aux!I:I,0)))</f>
        <v>Direita</v>
      </c>
      <c r="G967" s="2">
        <v>0</v>
      </c>
      <c r="H967" s="2">
        <v>23305</v>
      </c>
    </row>
    <row r="968" spans="1:8" x14ac:dyDescent="0.3">
      <c r="A968" t="s">
        <v>928</v>
      </c>
      <c r="B968" t="s">
        <v>871</v>
      </c>
      <c r="C968" t="s">
        <v>872</v>
      </c>
      <c r="D968" t="s">
        <v>684</v>
      </c>
      <c r="E968" t="s">
        <v>685</v>
      </c>
      <c r="F968" t="str">
        <f>IFERROR(INDEX(Aux!E:E,MATCH(Dados!E968,Aux!D:D,0)),INDEX(Aux!K:K,MATCH(Dados!B968,Aux!I:I,0)))</f>
        <v>Esquerda</v>
      </c>
      <c r="G968" s="2">
        <v>0</v>
      </c>
      <c r="H968" s="2">
        <v>49353</v>
      </c>
    </row>
    <row r="969" spans="1:8" x14ac:dyDescent="0.3">
      <c r="A969" t="s">
        <v>928</v>
      </c>
      <c r="B969" t="s">
        <v>817</v>
      </c>
      <c r="C969" t="s">
        <v>818</v>
      </c>
      <c r="D969" t="s">
        <v>623</v>
      </c>
      <c r="E969" t="s">
        <v>624</v>
      </c>
      <c r="F969" t="str">
        <f>IFERROR(INDEX(Aux!E:E,MATCH(Dados!E969,Aux!D:D,0)),INDEX(Aux!K:K,MATCH(Dados!B969,Aux!I:I,0)))</f>
        <v>Indefinido</v>
      </c>
      <c r="G969" s="2">
        <v>0</v>
      </c>
      <c r="H969" s="2">
        <v>61769</v>
      </c>
    </row>
    <row r="970" spans="1:8" x14ac:dyDescent="0.3">
      <c r="A970" t="s">
        <v>928</v>
      </c>
      <c r="B970" t="s">
        <v>787</v>
      </c>
      <c r="C970" t="s">
        <v>788</v>
      </c>
      <c r="D970" t="s">
        <v>94</v>
      </c>
      <c r="E970" t="s">
        <v>95</v>
      </c>
      <c r="F970" t="str">
        <f>IFERROR(INDEX(Aux!E:E,MATCH(Dados!E970,Aux!D:D,0)),INDEX(Aux!K:K,MATCH(Dados!B970,Aux!I:I,0)))</f>
        <v>Centro direita</v>
      </c>
      <c r="G970" s="2">
        <v>0</v>
      </c>
      <c r="H970" s="2">
        <v>20734</v>
      </c>
    </row>
    <row r="971" spans="1:8" x14ac:dyDescent="0.3">
      <c r="A971" t="s">
        <v>928</v>
      </c>
      <c r="B971" t="s">
        <v>866</v>
      </c>
      <c r="C971" t="s">
        <v>867</v>
      </c>
      <c r="D971" t="s">
        <v>186</v>
      </c>
      <c r="E971" t="s">
        <v>187</v>
      </c>
      <c r="F971" t="str">
        <f>IFERROR(INDEX(Aux!E:E,MATCH(Dados!E971,Aux!D:D,0)),INDEX(Aux!K:K,MATCH(Dados!B971,Aux!I:I,0)))</f>
        <v>Direita</v>
      </c>
      <c r="G971" s="2">
        <v>0</v>
      </c>
      <c r="H971" s="2">
        <v>32455</v>
      </c>
    </row>
    <row r="972" spans="1:8" x14ac:dyDescent="0.3">
      <c r="A972" t="s">
        <v>928</v>
      </c>
      <c r="B972" t="s">
        <v>206</v>
      </c>
      <c r="C972" t="s">
        <v>207</v>
      </c>
      <c r="D972" t="s">
        <v>186</v>
      </c>
      <c r="E972" t="s">
        <v>187</v>
      </c>
      <c r="F972" t="str">
        <f>IFERROR(INDEX(Aux!E:E,MATCH(Dados!E972,Aux!D:D,0)),INDEX(Aux!K:K,MATCH(Dados!B972,Aux!I:I,0)))</f>
        <v>Direita</v>
      </c>
      <c r="G972" s="2">
        <v>0</v>
      </c>
      <c r="H972" s="2">
        <v>41940</v>
      </c>
    </row>
    <row r="973" spans="1:8" x14ac:dyDescent="0.3">
      <c r="A973" t="s">
        <v>928</v>
      </c>
      <c r="B973" t="s">
        <v>756</v>
      </c>
      <c r="C973" t="s">
        <v>757</v>
      </c>
      <c r="D973" t="s">
        <v>714</v>
      </c>
      <c r="E973" t="s">
        <v>715</v>
      </c>
      <c r="F973" t="str">
        <f>IFERROR(INDEX(Aux!E:E,MATCH(Dados!E973,Aux!D:D,0)),INDEX(Aux!K:K,MATCH(Dados!B973,Aux!I:I,0)))</f>
        <v>Centro direita</v>
      </c>
      <c r="G973" s="2">
        <v>0</v>
      </c>
      <c r="H973" s="2">
        <v>102342</v>
      </c>
    </row>
    <row r="974" spans="1:8" x14ac:dyDescent="0.3">
      <c r="A974" t="s">
        <v>928</v>
      </c>
      <c r="B974" t="s">
        <v>783</v>
      </c>
      <c r="C974" t="s">
        <v>784</v>
      </c>
      <c r="D974" t="s">
        <v>623</v>
      </c>
      <c r="E974" t="s">
        <v>624</v>
      </c>
      <c r="F974" t="str">
        <f>IFERROR(INDEX(Aux!E:E,MATCH(Dados!E974,Aux!D:D,0)),INDEX(Aux!K:K,MATCH(Dados!B974,Aux!I:I,0)))</f>
        <v>Indefinido</v>
      </c>
      <c r="G974" s="2">
        <v>0</v>
      </c>
      <c r="H974" s="2">
        <v>4041</v>
      </c>
    </row>
    <row r="975" spans="1:8" x14ac:dyDescent="0.3">
      <c r="A975" t="s">
        <v>928</v>
      </c>
      <c r="B975" t="s">
        <v>770</v>
      </c>
      <c r="C975" t="s">
        <v>771</v>
      </c>
      <c r="D975" t="s">
        <v>432</v>
      </c>
      <c r="E975" t="s">
        <v>433</v>
      </c>
      <c r="F975" t="str">
        <f>IFERROR(INDEX(Aux!E:E,MATCH(Dados!E975,Aux!D:D,0)),INDEX(Aux!K:K,MATCH(Dados!B975,Aux!I:I,0)))</f>
        <v>Centro</v>
      </c>
      <c r="G975" s="2">
        <v>0</v>
      </c>
      <c r="H975" s="2">
        <v>65598</v>
      </c>
    </row>
    <row r="976" spans="1:8" x14ac:dyDescent="0.3">
      <c r="A976" t="s">
        <v>928</v>
      </c>
      <c r="B976" t="s">
        <v>690</v>
      </c>
      <c r="C976" t="s">
        <v>691</v>
      </c>
      <c r="D976" t="s">
        <v>714</v>
      </c>
      <c r="E976" t="s">
        <v>715</v>
      </c>
      <c r="F976" t="str">
        <f>IFERROR(INDEX(Aux!E:E,MATCH(Dados!E976,Aux!D:D,0)),INDEX(Aux!K:K,MATCH(Dados!B976,Aux!I:I,0)))</f>
        <v>Centro direita</v>
      </c>
      <c r="G976" s="2">
        <v>0</v>
      </c>
      <c r="H976" s="2">
        <v>30533</v>
      </c>
    </row>
    <row r="977" spans="1:8" x14ac:dyDescent="0.3">
      <c r="A977" t="s">
        <v>928</v>
      </c>
      <c r="B977" t="s">
        <v>664</v>
      </c>
      <c r="C977" t="s">
        <v>665</v>
      </c>
      <c r="D977" t="s">
        <v>684</v>
      </c>
      <c r="E977" t="s">
        <v>685</v>
      </c>
      <c r="F977" t="str">
        <f>IFERROR(INDEX(Aux!E:E,MATCH(Dados!E977,Aux!D:D,0)),INDEX(Aux!K:K,MATCH(Dados!B977,Aux!I:I,0)))</f>
        <v>Esquerda</v>
      </c>
      <c r="G977" s="2">
        <v>0</v>
      </c>
      <c r="H977" s="2">
        <v>93193</v>
      </c>
    </row>
    <row r="978" spans="1:8" x14ac:dyDescent="0.3">
      <c r="A978" t="s">
        <v>928</v>
      </c>
      <c r="B978" t="s">
        <v>737</v>
      </c>
      <c r="C978" t="s">
        <v>738</v>
      </c>
      <c r="D978" t="s">
        <v>186</v>
      </c>
      <c r="E978" t="s">
        <v>187</v>
      </c>
      <c r="F978" t="str">
        <f>IFERROR(INDEX(Aux!E:E,MATCH(Dados!E978,Aux!D:D,0)),INDEX(Aux!K:K,MATCH(Dados!B978,Aux!I:I,0)))</f>
        <v>Direita</v>
      </c>
      <c r="G978" s="2">
        <v>0</v>
      </c>
      <c r="H978" s="2">
        <v>11664</v>
      </c>
    </row>
    <row r="979" spans="1:8" x14ac:dyDescent="0.3">
      <c r="A979" t="s">
        <v>928</v>
      </c>
      <c r="B979" t="s">
        <v>488</v>
      </c>
      <c r="C979" t="s">
        <v>489</v>
      </c>
      <c r="D979" t="s">
        <v>517</v>
      </c>
      <c r="E979" t="s">
        <v>518</v>
      </c>
      <c r="F979" t="str">
        <f>IFERROR(INDEX(Aux!E:E,MATCH(Dados!E979,Aux!D:D,0)),INDEX(Aux!K:K,MATCH(Dados!B979,Aux!I:I,0)))</f>
        <v>Direita</v>
      </c>
      <c r="G979" s="2">
        <v>0</v>
      </c>
      <c r="H979" s="2">
        <v>152301</v>
      </c>
    </row>
    <row r="980" spans="1:8" x14ac:dyDescent="0.3">
      <c r="A980" t="s">
        <v>928</v>
      </c>
      <c r="B980" t="s">
        <v>641</v>
      </c>
      <c r="C980" t="s">
        <v>642</v>
      </c>
      <c r="D980" t="s">
        <v>660</v>
      </c>
      <c r="E980" t="s">
        <v>661</v>
      </c>
      <c r="F980" t="str">
        <f>IFERROR(INDEX(Aux!E:E,MATCH(Dados!E980,Aux!D:D,0)),INDEX(Aux!K:K,MATCH(Dados!B980,Aux!I:I,0)))</f>
        <v>Centro direita</v>
      </c>
      <c r="G980" s="2">
        <v>0</v>
      </c>
      <c r="H980" s="2">
        <v>61546</v>
      </c>
    </row>
    <row r="981" spans="1:8" x14ac:dyDescent="0.3">
      <c r="A981" t="s">
        <v>928</v>
      </c>
      <c r="B981" t="s">
        <v>599</v>
      </c>
      <c r="C981" t="s">
        <v>600</v>
      </c>
      <c r="D981" t="s">
        <v>623</v>
      </c>
      <c r="E981" t="s">
        <v>624</v>
      </c>
      <c r="F981" t="str">
        <f>IFERROR(INDEX(Aux!E:E,MATCH(Dados!E981,Aux!D:D,0)),INDEX(Aux!K:K,MATCH(Dados!B981,Aux!I:I,0)))</f>
        <v>Indefinido</v>
      </c>
      <c r="G981" s="2">
        <v>0</v>
      </c>
      <c r="H981" s="2">
        <v>59116</v>
      </c>
    </row>
    <row r="982" spans="1:8" x14ac:dyDescent="0.3">
      <c r="A982" t="s">
        <v>928</v>
      </c>
      <c r="B982" t="s">
        <v>831</v>
      </c>
      <c r="C982" t="s">
        <v>832</v>
      </c>
      <c r="D982" t="s">
        <v>660</v>
      </c>
      <c r="E982" t="s">
        <v>661</v>
      </c>
      <c r="F982" t="str">
        <f>IFERROR(INDEX(Aux!E:E,MATCH(Dados!E982,Aux!D:D,0)),INDEX(Aux!K:K,MATCH(Dados!B982,Aux!I:I,0)))</f>
        <v>Centro direita</v>
      </c>
      <c r="G982" s="2">
        <v>0</v>
      </c>
      <c r="H982" s="2">
        <v>102911</v>
      </c>
    </row>
    <row r="983" spans="1:8" x14ac:dyDescent="0.3">
      <c r="A983" t="s">
        <v>928</v>
      </c>
      <c r="B983" t="s">
        <v>388</v>
      </c>
      <c r="C983" t="s">
        <v>389</v>
      </c>
      <c r="D983" t="s">
        <v>432</v>
      </c>
      <c r="E983" t="s">
        <v>433</v>
      </c>
      <c r="F983" t="str">
        <f>IFERROR(INDEX(Aux!E:E,MATCH(Dados!E983,Aux!D:D,0)),INDEX(Aux!K:K,MATCH(Dados!B983,Aux!I:I,0)))</f>
        <v>Centro</v>
      </c>
      <c r="G983" s="2">
        <v>0</v>
      </c>
      <c r="H983" s="2">
        <v>29162</v>
      </c>
    </row>
    <row r="984" spans="1:8" x14ac:dyDescent="0.3">
      <c r="A984" t="s">
        <v>928</v>
      </c>
      <c r="B984" t="s">
        <v>334</v>
      </c>
      <c r="C984" t="s">
        <v>335</v>
      </c>
      <c r="D984" t="s">
        <v>94</v>
      </c>
      <c r="E984" t="s">
        <v>95</v>
      </c>
      <c r="F984" t="str">
        <f>IFERROR(INDEX(Aux!E:E,MATCH(Dados!E984,Aux!D:D,0)),INDEX(Aux!K:K,MATCH(Dados!B984,Aux!I:I,0)))</f>
        <v>Centro direita</v>
      </c>
      <c r="G984" s="2">
        <v>0</v>
      </c>
      <c r="H984" s="2">
        <v>62784</v>
      </c>
    </row>
    <row r="985" spans="1:8" x14ac:dyDescent="0.3">
      <c r="A985" t="s">
        <v>928</v>
      </c>
      <c r="B985" t="s">
        <v>135</v>
      </c>
      <c r="C985" t="s">
        <v>136</v>
      </c>
      <c r="D985" t="s">
        <v>186</v>
      </c>
      <c r="E985" t="s">
        <v>187</v>
      </c>
      <c r="F985" t="str">
        <f>IFERROR(INDEX(Aux!E:E,MATCH(Dados!E985,Aux!D:D,0)),INDEX(Aux!K:K,MATCH(Dados!B985,Aux!I:I,0)))</f>
        <v>Direita</v>
      </c>
      <c r="G985" s="2">
        <v>0</v>
      </c>
      <c r="H985" s="2">
        <v>51265</v>
      </c>
    </row>
    <row r="986" spans="1:8" x14ac:dyDescent="0.3">
      <c r="A986" t="s">
        <v>928</v>
      </c>
      <c r="B986" t="s">
        <v>4</v>
      </c>
      <c r="C986" t="s">
        <v>5</v>
      </c>
      <c r="D986" t="s">
        <v>94</v>
      </c>
      <c r="E986" t="s">
        <v>95</v>
      </c>
      <c r="F986" t="str">
        <f>IFERROR(INDEX(Aux!E:E,MATCH(Dados!E986,Aux!D:D,0)),INDEX(Aux!K:K,MATCH(Dados!B986,Aux!I:I,0)))</f>
        <v>Centro direita</v>
      </c>
      <c r="G986" s="2">
        <v>0</v>
      </c>
      <c r="H986" s="2">
        <v>49085</v>
      </c>
    </row>
    <row r="987" spans="1:8" x14ac:dyDescent="0.3">
      <c r="A987" t="s">
        <v>926</v>
      </c>
      <c r="B987" t="s">
        <v>902</v>
      </c>
      <c r="C987" t="s">
        <v>902</v>
      </c>
      <c r="D987" t="s">
        <v>379</v>
      </c>
      <c r="E987" t="s">
        <v>380</v>
      </c>
      <c r="F987" t="str">
        <f>IFERROR(INDEX(Aux!E:E,MATCH(Dados!E987,Aux!D:D,0)),INDEX(Aux!K:K,MATCH(Dados!B987,Aux!I:I,0)))</f>
        <v>Centro</v>
      </c>
      <c r="G987" s="2">
        <v>0</v>
      </c>
      <c r="H987" s="2">
        <v>20941</v>
      </c>
    </row>
    <row r="988" spans="1:8" x14ac:dyDescent="0.3">
      <c r="A988" t="s">
        <v>926</v>
      </c>
      <c r="B988" t="s">
        <v>899</v>
      </c>
      <c r="C988" t="s">
        <v>900</v>
      </c>
      <c r="D988" t="s">
        <v>100</v>
      </c>
      <c r="E988" t="s">
        <v>899</v>
      </c>
      <c r="F988" t="str">
        <f>IFERROR(INDEX(Aux!E:E,MATCH(Dados!E988,Aux!D:D,0)),INDEX(Aux!K:K,MATCH(Dados!B988,Aux!I:I,0)))</f>
        <v>Direita</v>
      </c>
      <c r="G988" s="2">
        <v>0</v>
      </c>
      <c r="H988" s="2">
        <v>147070</v>
      </c>
    </row>
    <row r="989" spans="1:8" x14ac:dyDescent="0.3">
      <c r="A989" t="s">
        <v>926</v>
      </c>
      <c r="B989" t="s">
        <v>893</v>
      </c>
      <c r="C989" t="s">
        <v>894</v>
      </c>
      <c r="D989" t="s">
        <v>430</v>
      </c>
      <c r="E989" t="s">
        <v>431</v>
      </c>
      <c r="F989" t="str">
        <f>IFERROR(INDEX(Aux!E:E,MATCH(Dados!E989,Aux!D:D,0)),INDEX(Aux!K:K,MATCH(Dados!B989,Aux!I:I,0)))</f>
        <v>Indefinido</v>
      </c>
      <c r="G989" s="2">
        <v>0</v>
      </c>
      <c r="H989" s="2">
        <v>221065</v>
      </c>
    </row>
    <row r="990" spans="1:8" x14ac:dyDescent="0.3">
      <c r="A990" t="s">
        <v>926</v>
      </c>
      <c r="B990" t="s">
        <v>875</v>
      </c>
      <c r="C990" t="s">
        <v>876</v>
      </c>
      <c r="D990" t="s">
        <v>729</v>
      </c>
      <c r="E990" t="s">
        <v>730</v>
      </c>
      <c r="F990" t="str">
        <f>IFERROR(INDEX(Aux!E:E,MATCH(Dados!E990,Aux!D:D,0)),INDEX(Aux!K:K,MATCH(Dados!B990,Aux!I:I,0)))</f>
        <v>Centro</v>
      </c>
      <c r="G990" s="2">
        <v>0</v>
      </c>
      <c r="H990" s="2">
        <v>236455</v>
      </c>
    </row>
    <row r="991" spans="1:8" x14ac:dyDescent="0.3">
      <c r="A991" t="s">
        <v>926</v>
      </c>
      <c r="B991" t="s">
        <v>282</v>
      </c>
      <c r="C991" t="s">
        <v>283</v>
      </c>
      <c r="D991" t="s">
        <v>100</v>
      </c>
      <c r="E991" t="s">
        <v>282</v>
      </c>
      <c r="F991" t="str">
        <f>IFERROR(INDEX(Aux!E:E,MATCH(Dados!E991,Aux!D:D,0)),INDEX(Aux!K:K,MATCH(Dados!B991,Aux!I:I,0)))</f>
        <v>Direita</v>
      </c>
      <c r="G991" s="2">
        <v>0</v>
      </c>
      <c r="H991" s="2">
        <v>79245</v>
      </c>
    </row>
    <row r="992" spans="1:8" x14ac:dyDescent="0.3">
      <c r="A992" t="s">
        <v>926</v>
      </c>
      <c r="B992" t="s">
        <v>817</v>
      </c>
      <c r="C992" t="s">
        <v>818</v>
      </c>
      <c r="D992" t="s">
        <v>100</v>
      </c>
      <c r="E992" t="s">
        <v>817</v>
      </c>
      <c r="F992" t="str">
        <f>IFERROR(INDEX(Aux!E:E,MATCH(Dados!E992,Aux!D:D,0)),INDEX(Aux!K:K,MATCH(Dados!B992,Aux!I:I,0)))</f>
        <v>Centro esquerda</v>
      </c>
      <c r="G992" s="2">
        <v>0</v>
      </c>
      <c r="H992" s="2">
        <v>68673</v>
      </c>
    </row>
    <row r="993" spans="1:8" x14ac:dyDescent="0.3">
      <c r="A993" t="s">
        <v>926</v>
      </c>
      <c r="B993" t="s">
        <v>864</v>
      </c>
      <c r="C993" t="s">
        <v>865</v>
      </c>
      <c r="D993" t="s">
        <v>430</v>
      </c>
      <c r="E993" t="s">
        <v>431</v>
      </c>
      <c r="F993" t="str">
        <f>IFERROR(INDEX(Aux!E:E,MATCH(Dados!E993,Aux!D:D,0)),INDEX(Aux!K:K,MATCH(Dados!B993,Aux!I:I,0)))</f>
        <v>Indefinido</v>
      </c>
      <c r="G993" s="2">
        <v>0</v>
      </c>
      <c r="H993" s="2">
        <v>5332</v>
      </c>
    </row>
    <row r="994" spans="1:8" x14ac:dyDescent="0.3">
      <c r="A994" t="s">
        <v>926</v>
      </c>
      <c r="B994" t="s">
        <v>866</v>
      </c>
      <c r="C994" t="s">
        <v>867</v>
      </c>
      <c r="D994" t="s">
        <v>751</v>
      </c>
      <c r="E994" t="s">
        <v>752</v>
      </c>
      <c r="F994" t="str">
        <f>IFERROR(INDEX(Aux!E:E,MATCH(Dados!E994,Aux!D:D,0)),INDEX(Aux!K:K,MATCH(Dados!B994,Aux!I:I,0)))</f>
        <v>Centro esquerda</v>
      </c>
      <c r="G994" s="2">
        <v>0</v>
      </c>
      <c r="H994" s="2">
        <v>39994</v>
      </c>
    </row>
    <row r="995" spans="1:8" x14ac:dyDescent="0.3">
      <c r="A995" t="s">
        <v>926</v>
      </c>
      <c r="B995" t="s">
        <v>206</v>
      </c>
      <c r="C995" t="s">
        <v>207</v>
      </c>
      <c r="D995" t="s">
        <v>276</v>
      </c>
      <c r="E995" t="s">
        <v>277</v>
      </c>
      <c r="F995" t="str">
        <f>IFERROR(INDEX(Aux!E:E,MATCH(Dados!E995,Aux!D:D,0)),INDEX(Aux!K:K,MATCH(Dados!B995,Aux!I:I,0)))</f>
        <v>Centro direita</v>
      </c>
      <c r="G995" s="2">
        <v>0</v>
      </c>
      <c r="H995" s="2">
        <v>69355</v>
      </c>
    </row>
    <row r="996" spans="1:8" x14ac:dyDescent="0.3">
      <c r="A996" t="s">
        <v>926</v>
      </c>
      <c r="B996" t="s">
        <v>756</v>
      </c>
      <c r="C996" t="s">
        <v>757</v>
      </c>
      <c r="D996" t="s">
        <v>100</v>
      </c>
      <c r="E996" t="s">
        <v>756</v>
      </c>
      <c r="F996" t="str">
        <f>IFERROR(INDEX(Aux!E:E,MATCH(Dados!E996,Aux!D:D,0)),INDEX(Aux!K:K,MATCH(Dados!B996,Aux!I:I,0)))</f>
        <v>Centro direita</v>
      </c>
      <c r="G996" s="2">
        <v>0</v>
      </c>
      <c r="H996" s="2">
        <v>64350</v>
      </c>
    </row>
    <row r="997" spans="1:8" x14ac:dyDescent="0.3">
      <c r="A997" t="s">
        <v>926</v>
      </c>
      <c r="B997" t="s">
        <v>770</v>
      </c>
      <c r="C997" t="s">
        <v>771</v>
      </c>
      <c r="D997" t="s">
        <v>538</v>
      </c>
      <c r="E997" t="s">
        <v>539</v>
      </c>
      <c r="F997" t="str">
        <f>IFERROR(INDEX(Aux!E:E,MATCH(Dados!E997,Aux!D:D,0)),INDEX(Aux!K:K,MATCH(Dados!B997,Aux!I:I,0)))</f>
        <v>Esquerda</v>
      </c>
      <c r="G997" s="2">
        <v>0</v>
      </c>
      <c r="H997" s="2">
        <v>49451</v>
      </c>
    </row>
    <row r="998" spans="1:8" x14ac:dyDescent="0.3">
      <c r="A998" t="s">
        <v>926</v>
      </c>
      <c r="B998" t="s">
        <v>857</v>
      </c>
      <c r="C998" t="s">
        <v>858</v>
      </c>
      <c r="D998" t="s">
        <v>379</v>
      </c>
      <c r="E998" t="s">
        <v>380</v>
      </c>
      <c r="F998" t="str">
        <f>IFERROR(INDEX(Aux!E:E,MATCH(Dados!E998,Aux!D:D,0)),INDEX(Aux!K:K,MATCH(Dados!B998,Aux!I:I,0)))</f>
        <v>Centro</v>
      </c>
      <c r="G998" s="2">
        <v>0</v>
      </c>
      <c r="H998" s="2">
        <v>46483</v>
      </c>
    </row>
    <row r="999" spans="1:8" x14ac:dyDescent="0.3">
      <c r="A999" t="s">
        <v>926</v>
      </c>
      <c r="B999" t="s">
        <v>716</v>
      </c>
      <c r="C999" t="s">
        <v>717</v>
      </c>
      <c r="D999" t="s">
        <v>729</v>
      </c>
      <c r="E999" t="s">
        <v>730</v>
      </c>
      <c r="F999" t="str">
        <f>IFERROR(INDEX(Aux!E:E,MATCH(Dados!E999,Aux!D:D,0)),INDEX(Aux!K:K,MATCH(Dados!B999,Aux!I:I,0)))</f>
        <v>Centro</v>
      </c>
      <c r="G999" s="2">
        <v>0</v>
      </c>
      <c r="H999" s="2">
        <v>102281</v>
      </c>
    </row>
    <row r="1000" spans="1:8" x14ac:dyDescent="0.3">
      <c r="A1000" t="s">
        <v>926</v>
      </c>
      <c r="B1000" t="s">
        <v>690</v>
      </c>
      <c r="C1000" t="s">
        <v>691</v>
      </c>
      <c r="D1000" t="s">
        <v>100</v>
      </c>
      <c r="E1000" t="s">
        <v>690</v>
      </c>
      <c r="F1000" t="str">
        <f>IFERROR(INDEX(Aux!E:E,MATCH(Dados!E1000,Aux!D:D,0)),INDEX(Aux!K:K,MATCH(Dados!B1000,Aux!I:I,0)))</f>
        <v>Centro</v>
      </c>
      <c r="G1000" s="2">
        <v>0</v>
      </c>
      <c r="H1000" s="2">
        <v>188294</v>
      </c>
    </row>
    <row r="1001" spans="1:8" x14ac:dyDescent="0.3">
      <c r="A1001" t="s">
        <v>926</v>
      </c>
      <c r="B1001" t="s">
        <v>664</v>
      </c>
      <c r="C1001" t="s">
        <v>665</v>
      </c>
      <c r="D1001" t="s">
        <v>276</v>
      </c>
      <c r="E1001" t="s">
        <v>277</v>
      </c>
      <c r="F1001" t="str">
        <f>IFERROR(INDEX(Aux!E:E,MATCH(Dados!E1001,Aux!D:D,0)),INDEX(Aux!K:K,MATCH(Dados!B1001,Aux!I:I,0)))</f>
        <v>Centro direita</v>
      </c>
      <c r="G1001" s="2">
        <v>0</v>
      </c>
      <c r="H1001" s="2">
        <v>95913</v>
      </c>
    </row>
    <row r="1002" spans="1:8" x14ac:dyDescent="0.3">
      <c r="A1002" t="s">
        <v>926</v>
      </c>
      <c r="B1002" t="s">
        <v>737</v>
      </c>
      <c r="C1002" t="s">
        <v>738</v>
      </c>
      <c r="D1002" t="s">
        <v>751</v>
      </c>
      <c r="E1002" t="s">
        <v>752</v>
      </c>
      <c r="F1002" t="str">
        <f>IFERROR(INDEX(Aux!E:E,MATCH(Dados!E1002,Aux!D:D,0)),INDEX(Aux!K:K,MATCH(Dados!B1002,Aux!I:I,0)))</f>
        <v>Centro esquerda</v>
      </c>
      <c r="G1002" s="2">
        <v>0</v>
      </c>
      <c r="H1002" s="2">
        <v>85747</v>
      </c>
    </row>
    <row r="1003" spans="1:8" x14ac:dyDescent="0.3">
      <c r="A1003" t="s">
        <v>926</v>
      </c>
      <c r="B1003" t="s">
        <v>488</v>
      </c>
      <c r="C1003" t="s">
        <v>489</v>
      </c>
      <c r="D1003" t="s">
        <v>538</v>
      </c>
      <c r="E1003" t="s">
        <v>539</v>
      </c>
      <c r="F1003" t="str">
        <f>IFERROR(INDEX(Aux!E:E,MATCH(Dados!E1003,Aux!D:D,0)),INDEX(Aux!K:K,MATCH(Dados!B1003,Aux!I:I,0)))</f>
        <v>Esquerda</v>
      </c>
      <c r="G1003" s="2">
        <v>0</v>
      </c>
      <c r="H1003" s="2">
        <v>46191</v>
      </c>
    </row>
    <row r="1004" spans="1:8" x14ac:dyDescent="0.3">
      <c r="A1004" t="s">
        <v>926</v>
      </c>
      <c r="B1004" t="s">
        <v>641</v>
      </c>
      <c r="C1004" t="s">
        <v>642</v>
      </c>
      <c r="D1004" t="s">
        <v>430</v>
      </c>
      <c r="E1004" t="s">
        <v>431</v>
      </c>
      <c r="F1004" t="str">
        <f>IFERROR(INDEX(Aux!E:E,MATCH(Dados!E1004,Aux!D:D,0)),INDEX(Aux!K:K,MATCH(Dados!B1004,Aux!I:I,0)))</f>
        <v>Indefinido</v>
      </c>
      <c r="G1004" s="2">
        <v>0</v>
      </c>
      <c r="H1004" s="2">
        <v>92804</v>
      </c>
    </row>
    <row r="1005" spans="1:8" x14ac:dyDescent="0.3">
      <c r="A1005" t="s">
        <v>926</v>
      </c>
      <c r="B1005" t="s">
        <v>599</v>
      </c>
      <c r="C1005" t="s">
        <v>600</v>
      </c>
      <c r="D1005" t="s">
        <v>476</v>
      </c>
      <c r="E1005" t="s">
        <v>477</v>
      </c>
      <c r="F1005" t="str">
        <f>IFERROR(INDEX(Aux!E:E,MATCH(Dados!E1005,Aux!D:D,0)),INDEX(Aux!K:K,MATCH(Dados!B1005,Aux!I:I,0)))</f>
        <v>Centro</v>
      </c>
      <c r="G1005" s="2">
        <v>0</v>
      </c>
      <c r="H1005" s="2">
        <v>99712</v>
      </c>
    </row>
    <row r="1006" spans="1:8" x14ac:dyDescent="0.3">
      <c r="A1006" t="s">
        <v>926</v>
      </c>
      <c r="B1006" t="s">
        <v>831</v>
      </c>
      <c r="C1006" t="s">
        <v>832</v>
      </c>
      <c r="D1006" t="s">
        <v>538</v>
      </c>
      <c r="E1006" t="s">
        <v>539</v>
      </c>
      <c r="F1006" t="str">
        <f>IFERROR(INDEX(Aux!E:E,MATCH(Dados!E1006,Aux!D:D,0)),INDEX(Aux!K:K,MATCH(Dados!B1006,Aux!I:I,0)))</f>
        <v>Esquerda</v>
      </c>
      <c r="G1006" s="2">
        <v>0</v>
      </c>
      <c r="H1006" s="2">
        <v>366598</v>
      </c>
    </row>
    <row r="1007" spans="1:8" x14ac:dyDescent="0.3">
      <c r="A1007" t="s">
        <v>926</v>
      </c>
      <c r="B1007" t="s">
        <v>558</v>
      </c>
      <c r="C1007" t="s">
        <v>559</v>
      </c>
      <c r="D1007" t="s">
        <v>100</v>
      </c>
      <c r="E1007" t="s">
        <v>558</v>
      </c>
      <c r="F1007" t="str">
        <f>IFERROR(INDEX(Aux!E:E,MATCH(Dados!E1007,Aux!D:D,0)),INDEX(Aux!K:K,MATCH(Dados!B1007,Aux!I:I,0)))</f>
        <v>Direita</v>
      </c>
      <c r="G1007" s="2">
        <v>0</v>
      </c>
      <c r="H1007" s="2">
        <v>169037</v>
      </c>
    </row>
    <row r="1008" spans="1:8" x14ac:dyDescent="0.3">
      <c r="A1008" t="s">
        <v>926</v>
      </c>
      <c r="B1008" t="s">
        <v>440</v>
      </c>
      <c r="C1008" t="s">
        <v>441</v>
      </c>
      <c r="D1008" t="s">
        <v>476</v>
      </c>
      <c r="E1008" t="s">
        <v>477</v>
      </c>
      <c r="F1008" t="str">
        <f>IFERROR(INDEX(Aux!E:E,MATCH(Dados!E1008,Aux!D:D,0)),INDEX(Aux!K:K,MATCH(Dados!B1008,Aux!I:I,0)))</f>
        <v>Centro</v>
      </c>
      <c r="G1008" s="2">
        <v>0</v>
      </c>
      <c r="H1008" s="2">
        <v>115141</v>
      </c>
    </row>
    <row r="1009" spans="1:8" x14ac:dyDescent="0.3">
      <c r="A1009" t="s">
        <v>926</v>
      </c>
      <c r="B1009" t="s">
        <v>388</v>
      </c>
      <c r="C1009" t="s">
        <v>389</v>
      </c>
      <c r="D1009" t="s">
        <v>430</v>
      </c>
      <c r="E1009" t="s">
        <v>431</v>
      </c>
      <c r="F1009" t="str">
        <f>IFERROR(INDEX(Aux!E:E,MATCH(Dados!E1009,Aux!D:D,0)),INDEX(Aux!K:K,MATCH(Dados!B1009,Aux!I:I,0)))</f>
        <v>Indefinido</v>
      </c>
      <c r="G1009" s="2">
        <v>0</v>
      </c>
      <c r="H1009" s="2">
        <v>38586</v>
      </c>
    </row>
    <row r="1010" spans="1:8" x14ac:dyDescent="0.3">
      <c r="A1010" t="s">
        <v>926</v>
      </c>
      <c r="B1010" t="s">
        <v>334</v>
      </c>
      <c r="C1010" t="s">
        <v>335</v>
      </c>
      <c r="D1010" t="s">
        <v>379</v>
      </c>
      <c r="E1010" t="s">
        <v>380</v>
      </c>
      <c r="F1010" t="str">
        <f>IFERROR(INDEX(Aux!E:E,MATCH(Dados!E1010,Aux!D:D,0)),INDEX(Aux!K:K,MATCH(Dados!B1010,Aux!I:I,0)))</f>
        <v>Centro</v>
      </c>
      <c r="G1010" s="2">
        <v>0</v>
      </c>
      <c r="H1010" s="2">
        <v>23217</v>
      </c>
    </row>
    <row r="1011" spans="1:8" x14ac:dyDescent="0.3">
      <c r="A1011" t="s">
        <v>926</v>
      </c>
      <c r="B1011" t="s">
        <v>135</v>
      </c>
      <c r="C1011" t="s">
        <v>136</v>
      </c>
      <c r="D1011" t="s">
        <v>100</v>
      </c>
      <c r="E1011" t="s">
        <v>135</v>
      </c>
      <c r="F1011" t="str">
        <f>IFERROR(INDEX(Aux!E:E,MATCH(Dados!E1011,Aux!D:D,0)),INDEX(Aux!K:K,MATCH(Dados!B1011,Aux!I:I,0)))</f>
        <v>Centro esquerda</v>
      </c>
      <c r="G1011" s="2">
        <v>0</v>
      </c>
      <c r="H1011" s="2">
        <v>27781</v>
      </c>
    </row>
    <row r="1012" spans="1:8" x14ac:dyDescent="0.3">
      <c r="A1012" t="s">
        <v>926</v>
      </c>
      <c r="B1012" t="s">
        <v>4</v>
      </c>
      <c r="C1012" t="s">
        <v>5</v>
      </c>
      <c r="D1012" t="s">
        <v>100</v>
      </c>
      <c r="E1012" t="s">
        <v>4</v>
      </c>
      <c r="F1012" t="str">
        <f>IFERROR(INDEX(Aux!E:E,MATCH(Dados!E1012,Aux!D:D,0)),INDEX(Aux!K:K,MATCH(Dados!B1012,Aux!I:I,0)))</f>
        <v>Esquerda</v>
      </c>
      <c r="G1012" s="2">
        <v>0</v>
      </c>
      <c r="H1012" s="2">
        <v>146011</v>
      </c>
    </row>
    <row r="1013" spans="1:8" x14ac:dyDescent="0.3">
      <c r="A1013" t="s">
        <v>925</v>
      </c>
      <c r="B1013" t="s">
        <v>902</v>
      </c>
      <c r="C1013" t="s">
        <v>902</v>
      </c>
      <c r="D1013" t="s">
        <v>414</v>
      </c>
      <c r="E1013" t="s">
        <v>415</v>
      </c>
      <c r="F1013" t="str">
        <f>IFERROR(INDEX(Aux!E:E,MATCH(Dados!E1013,Aux!D:D,0)),INDEX(Aux!K:K,MATCH(Dados!B1013,Aux!I:I,0)))</f>
        <v>Centro</v>
      </c>
      <c r="G1013" s="2">
        <v>0</v>
      </c>
      <c r="H1013" s="2">
        <v>31332</v>
      </c>
    </row>
    <row r="1014" spans="1:8" x14ac:dyDescent="0.3">
      <c r="A1014" t="s">
        <v>925</v>
      </c>
      <c r="B1014" t="s">
        <v>899</v>
      </c>
      <c r="C1014" t="s">
        <v>900</v>
      </c>
      <c r="D1014" t="s">
        <v>141</v>
      </c>
      <c r="E1014" t="s">
        <v>142</v>
      </c>
      <c r="F1014" t="str">
        <f>IFERROR(INDEX(Aux!E:E,MATCH(Dados!E1014,Aux!D:D,0)),INDEX(Aux!K:K,MATCH(Dados!B1014,Aux!I:I,0)))</f>
        <v>Direita</v>
      </c>
      <c r="G1014" s="2">
        <v>0</v>
      </c>
      <c r="H1014" s="2">
        <v>19534</v>
      </c>
    </row>
    <row r="1015" spans="1:8" x14ac:dyDescent="0.3">
      <c r="A1015" t="s">
        <v>925</v>
      </c>
      <c r="B1015" t="s">
        <v>893</v>
      </c>
      <c r="C1015" t="s">
        <v>894</v>
      </c>
      <c r="D1015" t="s">
        <v>414</v>
      </c>
      <c r="E1015" t="s">
        <v>415</v>
      </c>
      <c r="F1015" t="str">
        <f>IFERROR(INDEX(Aux!E:E,MATCH(Dados!E1015,Aux!D:D,0)),INDEX(Aux!K:K,MATCH(Dados!B1015,Aux!I:I,0)))</f>
        <v>Centro</v>
      </c>
      <c r="G1015" s="2">
        <v>0</v>
      </c>
      <c r="H1015" s="2">
        <v>235753</v>
      </c>
    </row>
    <row r="1016" spans="1:8" x14ac:dyDescent="0.3">
      <c r="A1016" t="s">
        <v>925</v>
      </c>
      <c r="B1016" t="s">
        <v>875</v>
      </c>
      <c r="C1016" t="s">
        <v>876</v>
      </c>
      <c r="D1016" t="s">
        <v>340</v>
      </c>
      <c r="E1016" t="s">
        <v>341</v>
      </c>
      <c r="F1016" t="str">
        <f>IFERROR(INDEX(Aux!E:E,MATCH(Dados!E1016,Aux!D:D,0)),INDEX(Aux!K:K,MATCH(Dados!B1016,Aux!I:I,0)))</f>
        <v>Centro</v>
      </c>
      <c r="G1016" s="2">
        <v>0</v>
      </c>
      <c r="H1016" s="2">
        <v>130775</v>
      </c>
    </row>
    <row r="1017" spans="1:8" x14ac:dyDescent="0.3">
      <c r="A1017" t="s">
        <v>925</v>
      </c>
      <c r="B1017" t="s">
        <v>282</v>
      </c>
      <c r="C1017" t="s">
        <v>283</v>
      </c>
      <c r="D1017" t="s">
        <v>30</v>
      </c>
      <c r="E1017" t="s">
        <v>31</v>
      </c>
      <c r="F1017" t="str">
        <f>IFERROR(INDEX(Aux!E:E,MATCH(Dados!E1017,Aux!D:D,0)),INDEX(Aux!K:K,MATCH(Dados!B1017,Aux!I:I,0)))</f>
        <v>Direita</v>
      </c>
      <c r="G1017" s="2">
        <v>0</v>
      </c>
      <c r="H1017" s="2">
        <v>74839</v>
      </c>
    </row>
    <row r="1018" spans="1:8" x14ac:dyDescent="0.3">
      <c r="A1018" t="s">
        <v>925</v>
      </c>
      <c r="B1018" t="s">
        <v>871</v>
      </c>
      <c r="C1018" t="s">
        <v>872</v>
      </c>
      <c r="D1018" t="s">
        <v>414</v>
      </c>
      <c r="E1018" t="s">
        <v>415</v>
      </c>
      <c r="F1018" t="str">
        <f>IFERROR(INDEX(Aux!E:E,MATCH(Dados!E1018,Aux!D:D,0)),INDEX(Aux!K:K,MATCH(Dados!B1018,Aux!I:I,0)))</f>
        <v>Centro</v>
      </c>
      <c r="G1018" s="2">
        <v>0</v>
      </c>
      <c r="H1018" s="2">
        <v>402359</v>
      </c>
    </row>
    <row r="1019" spans="1:8" x14ac:dyDescent="0.3">
      <c r="A1019" t="s">
        <v>925</v>
      </c>
      <c r="B1019" t="s">
        <v>869</v>
      </c>
      <c r="C1019" t="s">
        <v>870</v>
      </c>
      <c r="D1019" t="s">
        <v>100</v>
      </c>
      <c r="E1019" t="s">
        <v>869</v>
      </c>
      <c r="F1019" t="str">
        <f>IFERROR(INDEX(Aux!E:E,MATCH(Dados!E1019,Aux!D:D,0)),INDEX(Aux!K:K,MATCH(Dados!B1019,Aux!I:I,0)))</f>
        <v>Esquerda</v>
      </c>
      <c r="G1019" s="2">
        <v>0</v>
      </c>
      <c r="H1019" s="2">
        <v>46</v>
      </c>
    </row>
    <row r="1020" spans="1:8" x14ac:dyDescent="0.3">
      <c r="A1020" t="s">
        <v>925</v>
      </c>
      <c r="B1020" t="s">
        <v>817</v>
      </c>
      <c r="C1020" t="s">
        <v>818</v>
      </c>
      <c r="D1020" t="s">
        <v>414</v>
      </c>
      <c r="E1020" t="s">
        <v>415</v>
      </c>
      <c r="F1020" t="str">
        <f>IFERROR(INDEX(Aux!E:E,MATCH(Dados!E1020,Aux!D:D,0)),INDEX(Aux!K:K,MATCH(Dados!B1020,Aux!I:I,0)))</f>
        <v>Centro</v>
      </c>
      <c r="G1020" s="2">
        <v>0</v>
      </c>
      <c r="H1020" s="2">
        <v>392779</v>
      </c>
    </row>
    <row r="1021" spans="1:8" x14ac:dyDescent="0.3">
      <c r="A1021" t="s">
        <v>925</v>
      </c>
      <c r="B1021" t="s">
        <v>787</v>
      </c>
      <c r="C1021" t="s">
        <v>788</v>
      </c>
      <c r="D1021" t="s">
        <v>791</v>
      </c>
      <c r="E1021" t="s">
        <v>792</v>
      </c>
      <c r="F1021" t="str">
        <f>IFERROR(INDEX(Aux!E:E,MATCH(Dados!E1021,Aux!D:D,0)),INDEX(Aux!K:K,MATCH(Dados!B1021,Aux!I:I,0)))</f>
        <v>Centro direita</v>
      </c>
      <c r="G1021" s="2">
        <v>0</v>
      </c>
      <c r="H1021" s="2">
        <v>18821</v>
      </c>
    </row>
    <row r="1022" spans="1:8" x14ac:dyDescent="0.3">
      <c r="A1022" t="s">
        <v>925</v>
      </c>
      <c r="B1022" t="s">
        <v>864</v>
      </c>
      <c r="C1022" t="s">
        <v>865</v>
      </c>
      <c r="D1022" t="s">
        <v>340</v>
      </c>
      <c r="E1022" t="s">
        <v>341</v>
      </c>
      <c r="F1022" t="str">
        <f>IFERROR(INDEX(Aux!E:E,MATCH(Dados!E1022,Aux!D:D,0)),INDEX(Aux!K:K,MATCH(Dados!B1022,Aux!I:I,0)))</f>
        <v>Centro</v>
      </c>
      <c r="G1022" s="2">
        <v>0</v>
      </c>
      <c r="H1022" s="2">
        <v>7268</v>
      </c>
    </row>
    <row r="1023" spans="1:8" x14ac:dyDescent="0.3">
      <c r="A1023" t="s">
        <v>925</v>
      </c>
      <c r="B1023" t="s">
        <v>866</v>
      </c>
      <c r="C1023" t="s">
        <v>867</v>
      </c>
      <c r="D1023" t="s">
        <v>791</v>
      </c>
      <c r="E1023" t="s">
        <v>792</v>
      </c>
      <c r="F1023" t="str">
        <f>IFERROR(INDEX(Aux!E:E,MATCH(Dados!E1023,Aux!D:D,0)),INDEX(Aux!K:K,MATCH(Dados!B1023,Aux!I:I,0)))</f>
        <v>Centro direita</v>
      </c>
      <c r="G1023" s="2">
        <v>0</v>
      </c>
      <c r="H1023" s="2">
        <v>99535</v>
      </c>
    </row>
    <row r="1024" spans="1:8" x14ac:dyDescent="0.3">
      <c r="A1024" t="s">
        <v>925</v>
      </c>
      <c r="B1024" t="s">
        <v>206</v>
      </c>
      <c r="C1024" t="s">
        <v>207</v>
      </c>
      <c r="D1024" t="s">
        <v>141</v>
      </c>
      <c r="E1024" t="s">
        <v>142</v>
      </c>
      <c r="F1024" t="str">
        <f>IFERROR(INDEX(Aux!E:E,MATCH(Dados!E1024,Aux!D:D,0)),INDEX(Aux!K:K,MATCH(Dados!B1024,Aux!I:I,0)))</f>
        <v>Direita</v>
      </c>
      <c r="G1024" s="2">
        <v>0</v>
      </c>
      <c r="H1024" s="2">
        <v>15863</v>
      </c>
    </row>
    <row r="1025" spans="1:8" x14ac:dyDescent="0.3">
      <c r="A1025" t="s">
        <v>925</v>
      </c>
      <c r="B1025" t="s">
        <v>756</v>
      </c>
      <c r="C1025" t="s">
        <v>757</v>
      </c>
      <c r="D1025" t="s">
        <v>414</v>
      </c>
      <c r="E1025" t="s">
        <v>415</v>
      </c>
      <c r="F1025" t="str">
        <f>IFERROR(INDEX(Aux!E:E,MATCH(Dados!E1025,Aux!D:D,0)),INDEX(Aux!K:K,MATCH(Dados!B1025,Aux!I:I,0)))</f>
        <v>Centro</v>
      </c>
      <c r="G1025" s="2">
        <v>0</v>
      </c>
      <c r="H1025" s="2">
        <v>109453</v>
      </c>
    </row>
    <row r="1026" spans="1:8" x14ac:dyDescent="0.3">
      <c r="A1026" t="s">
        <v>925</v>
      </c>
      <c r="B1026" t="s">
        <v>783</v>
      </c>
      <c r="C1026" t="s">
        <v>784</v>
      </c>
      <c r="D1026" t="s">
        <v>444</v>
      </c>
      <c r="E1026" t="s">
        <v>445</v>
      </c>
      <c r="F1026" t="str">
        <f>IFERROR(INDEX(Aux!E:E,MATCH(Dados!E1026,Aux!D:D,0)),INDEX(Aux!K:K,MATCH(Dados!B1026,Aux!I:I,0)))</f>
        <v>Esquerda</v>
      </c>
      <c r="G1026" s="2">
        <v>0</v>
      </c>
      <c r="H1026" s="2">
        <v>8082</v>
      </c>
    </row>
    <row r="1027" spans="1:8" x14ac:dyDescent="0.3">
      <c r="A1027" t="s">
        <v>925</v>
      </c>
      <c r="B1027" t="s">
        <v>770</v>
      </c>
      <c r="C1027" t="s">
        <v>771</v>
      </c>
      <c r="D1027" t="s">
        <v>444</v>
      </c>
      <c r="E1027" t="s">
        <v>445</v>
      </c>
      <c r="F1027" t="str">
        <f>IFERROR(INDEX(Aux!E:E,MATCH(Dados!E1027,Aux!D:D,0)),INDEX(Aux!K:K,MATCH(Dados!B1027,Aux!I:I,0)))</f>
        <v>Esquerda</v>
      </c>
      <c r="G1027" s="2">
        <v>0</v>
      </c>
      <c r="H1027" s="2">
        <v>5339</v>
      </c>
    </row>
    <row r="1028" spans="1:8" x14ac:dyDescent="0.3">
      <c r="A1028" t="s">
        <v>925</v>
      </c>
      <c r="B1028" t="s">
        <v>857</v>
      </c>
      <c r="C1028" t="s">
        <v>858</v>
      </c>
      <c r="D1028" t="s">
        <v>414</v>
      </c>
      <c r="E1028" t="s">
        <v>415</v>
      </c>
      <c r="F1028" t="str">
        <f>IFERROR(INDEX(Aux!E:E,MATCH(Dados!E1028,Aux!D:D,0)),INDEX(Aux!K:K,MATCH(Dados!B1028,Aux!I:I,0)))</f>
        <v>Centro</v>
      </c>
      <c r="G1028" s="2">
        <v>0</v>
      </c>
      <c r="H1028" s="2">
        <v>198323</v>
      </c>
    </row>
    <row r="1029" spans="1:8" x14ac:dyDescent="0.3">
      <c r="A1029" t="s">
        <v>925</v>
      </c>
      <c r="B1029" t="s">
        <v>716</v>
      </c>
      <c r="C1029" t="s">
        <v>717</v>
      </c>
      <c r="D1029" t="s">
        <v>414</v>
      </c>
      <c r="E1029" t="s">
        <v>415</v>
      </c>
      <c r="F1029" t="str">
        <f>IFERROR(INDEX(Aux!E:E,MATCH(Dados!E1029,Aux!D:D,0)),INDEX(Aux!K:K,MATCH(Dados!B1029,Aux!I:I,0)))</f>
        <v>Centro</v>
      </c>
      <c r="G1029" s="2">
        <v>0</v>
      </c>
      <c r="H1029" s="2">
        <v>131601</v>
      </c>
    </row>
    <row r="1030" spans="1:8" x14ac:dyDescent="0.3">
      <c r="A1030" t="s">
        <v>925</v>
      </c>
      <c r="B1030" t="s">
        <v>690</v>
      </c>
      <c r="C1030" t="s">
        <v>691</v>
      </c>
      <c r="D1030" t="s">
        <v>444</v>
      </c>
      <c r="E1030" t="s">
        <v>445</v>
      </c>
      <c r="F1030" t="str">
        <f>IFERROR(INDEX(Aux!E:E,MATCH(Dados!E1030,Aux!D:D,0)),INDEX(Aux!K:K,MATCH(Dados!B1030,Aux!I:I,0)))</f>
        <v>Esquerda</v>
      </c>
      <c r="G1030" s="2">
        <v>0</v>
      </c>
      <c r="H1030" s="2">
        <v>30399</v>
      </c>
    </row>
    <row r="1031" spans="1:8" x14ac:dyDescent="0.3">
      <c r="A1031" t="s">
        <v>925</v>
      </c>
      <c r="B1031" t="s">
        <v>664</v>
      </c>
      <c r="C1031" t="s">
        <v>665</v>
      </c>
      <c r="D1031" t="s">
        <v>340</v>
      </c>
      <c r="E1031" t="s">
        <v>341</v>
      </c>
      <c r="F1031" t="str">
        <f>IFERROR(INDEX(Aux!E:E,MATCH(Dados!E1031,Aux!D:D,0)),INDEX(Aux!K:K,MATCH(Dados!B1031,Aux!I:I,0)))</f>
        <v>Centro</v>
      </c>
      <c r="G1031" s="2">
        <v>0</v>
      </c>
      <c r="H1031" s="2">
        <v>19612</v>
      </c>
    </row>
    <row r="1032" spans="1:8" x14ac:dyDescent="0.3">
      <c r="A1032" t="s">
        <v>925</v>
      </c>
      <c r="B1032" t="s">
        <v>737</v>
      </c>
      <c r="C1032" t="s">
        <v>738</v>
      </c>
      <c r="D1032" t="s">
        <v>100</v>
      </c>
      <c r="E1032" t="s">
        <v>737</v>
      </c>
      <c r="F1032" t="str">
        <f>IFERROR(INDEX(Aux!E:E,MATCH(Dados!E1032,Aux!D:D,0)),INDEX(Aux!K:K,MATCH(Dados!B1032,Aux!I:I,0)))</f>
        <v>Direita</v>
      </c>
      <c r="G1032" s="2">
        <v>0</v>
      </c>
      <c r="H1032" s="2">
        <v>160001</v>
      </c>
    </row>
    <row r="1033" spans="1:8" x14ac:dyDescent="0.3">
      <c r="A1033" t="s">
        <v>925</v>
      </c>
      <c r="B1033" t="s">
        <v>488</v>
      </c>
      <c r="C1033" t="s">
        <v>489</v>
      </c>
      <c r="D1033" t="s">
        <v>414</v>
      </c>
      <c r="E1033" t="s">
        <v>415</v>
      </c>
      <c r="F1033" t="str">
        <f>IFERROR(INDEX(Aux!E:E,MATCH(Dados!E1033,Aux!D:D,0)),INDEX(Aux!K:K,MATCH(Dados!B1033,Aux!I:I,0)))</f>
        <v>Centro</v>
      </c>
      <c r="G1033" s="2">
        <v>0</v>
      </c>
      <c r="H1033" s="2">
        <v>101489</v>
      </c>
    </row>
    <row r="1034" spans="1:8" x14ac:dyDescent="0.3">
      <c r="A1034" t="s">
        <v>925</v>
      </c>
      <c r="B1034" t="s">
        <v>641</v>
      </c>
      <c r="C1034" t="s">
        <v>642</v>
      </c>
      <c r="D1034" t="s">
        <v>340</v>
      </c>
      <c r="E1034" t="s">
        <v>341</v>
      </c>
      <c r="F1034" t="str">
        <f>IFERROR(INDEX(Aux!E:E,MATCH(Dados!E1034,Aux!D:D,0)),INDEX(Aux!K:K,MATCH(Dados!B1034,Aux!I:I,0)))</f>
        <v>Centro</v>
      </c>
      <c r="G1034" s="2">
        <v>0</v>
      </c>
      <c r="H1034" s="2">
        <v>41400</v>
      </c>
    </row>
    <row r="1035" spans="1:8" x14ac:dyDescent="0.3">
      <c r="A1035" t="s">
        <v>925</v>
      </c>
      <c r="B1035" t="s">
        <v>599</v>
      </c>
      <c r="C1035" t="s">
        <v>600</v>
      </c>
      <c r="D1035" t="s">
        <v>340</v>
      </c>
      <c r="E1035" t="s">
        <v>341</v>
      </c>
      <c r="F1035" t="str">
        <f>IFERROR(INDEX(Aux!E:E,MATCH(Dados!E1035,Aux!D:D,0)),INDEX(Aux!K:K,MATCH(Dados!B1035,Aux!I:I,0)))</f>
        <v>Centro</v>
      </c>
      <c r="G1035" s="2">
        <v>0</v>
      </c>
      <c r="H1035" s="2">
        <v>6605</v>
      </c>
    </row>
    <row r="1036" spans="1:8" x14ac:dyDescent="0.3">
      <c r="A1036" t="s">
        <v>925</v>
      </c>
      <c r="B1036" t="s">
        <v>831</v>
      </c>
      <c r="C1036" t="s">
        <v>832</v>
      </c>
      <c r="D1036" t="s">
        <v>100</v>
      </c>
      <c r="E1036" t="s">
        <v>831</v>
      </c>
      <c r="F1036" t="str">
        <f>IFERROR(INDEX(Aux!E:E,MATCH(Dados!E1036,Aux!D:D,0)),INDEX(Aux!K:K,MATCH(Dados!B1036,Aux!I:I,0)))</f>
        <v>Centro esquerda</v>
      </c>
      <c r="G1036" s="2">
        <v>0</v>
      </c>
      <c r="H1036" s="2">
        <v>63301</v>
      </c>
    </row>
    <row r="1037" spans="1:8" x14ac:dyDescent="0.3">
      <c r="A1037" t="s">
        <v>925</v>
      </c>
      <c r="B1037" t="s">
        <v>558</v>
      </c>
      <c r="C1037" t="s">
        <v>559</v>
      </c>
      <c r="D1037" t="s">
        <v>100</v>
      </c>
      <c r="E1037" t="s">
        <v>558</v>
      </c>
      <c r="F1037" t="str">
        <f>IFERROR(INDEX(Aux!E:E,MATCH(Dados!E1037,Aux!D:D,0)),INDEX(Aux!K:K,MATCH(Dados!B1037,Aux!I:I,0)))</f>
        <v>Direita</v>
      </c>
      <c r="G1037" s="2">
        <v>0</v>
      </c>
      <c r="H1037" s="2">
        <v>106623</v>
      </c>
    </row>
    <row r="1038" spans="1:8" x14ac:dyDescent="0.3">
      <c r="A1038" t="s">
        <v>925</v>
      </c>
      <c r="B1038" t="s">
        <v>440</v>
      </c>
      <c r="C1038" t="s">
        <v>441</v>
      </c>
      <c r="D1038" t="s">
        <v>444</v>
      </c>
      <c r="E1038" t="s">
        <v>445</v>
      </c>
      <c r="F1038" t="str">
        <f>IFERROR(INDEX(Aux!E:E,MATCH(Dados!E1038,Aux!D:D,0)),INDEX(Aux!K:K,MATCH(Dados!B1038,Aux!I:I,0)))</f>
        <v>Esquerda</v>
      </c>
      <c r="G1038" s="2">
        <v>0</v>
      </c>
      <c r="H1038" s="2">
        <v>76013</v>
      </c>
    </row>
    <row r="1039" spans="1:8" x14ac:dyDescent="0.3">
      <c r="A1039" t="s">
        <v>925</v>
      </c>
      <c r="B1039" t="s">
        <v>388</v>
      </c>
      <c r="C1039" t="s">
        <v>389</v>
      </c>
      <c r="D1039" t="s">
        <v>414</v>
      </c>
      <c r="E1039" t="s">
        <v>415</v>
      </c>
      <c r="F1039" t="str">
        <f>IFERROR(INDEX(Aux!E:E,MATCH(Dados!E1039,Aux!D:D,0)),INDEX(Aux!K:K,MATCH(Dados!B1039,Aux!I:I,0)))</f>
        <v>Centro</v>
      </c>
      <c r="G1039" s="2">
        <v>0</v>
      </c>
      <c r="H1039" s="2">
        <v>33077</v>
      </c>
    </row>
    <row r="1040" spans="1:8" x14ac:dyDescent="0.3">
      <c r="A1040" t="s">
        <v>925</v>
      </c>
      <c r="B1040" t="s">
        <v>334</v>
      </c>
      <c r="C1040" t="s">
        <v>335</v>
      </c>
      <c r="D1040" t="s">
        <v>340</v>
      </c>
      <c r="E1040" t="s">
        <v>341</v>
      </c>
      <c r="F1040" t="str">
        <f>IFERROR(INDEX(Aux!E:E,MATCH(Dados!E1040,Aux!D:D,0)),INDEX(Aux!K:K,MATCH(Dados!B1040,Aux!I:I,0)))</f>
        <v>Centro</v>
      </c>
      <c r="G1040" s="2">
        <v>0</v>
      </c>
      <c r="H1040" s="2">
        <v>125480</v>
      </c>
    </row>
    <row r="1041" spans="1:8" x14ac:dyDescent="0.3">
      <c r="A1041" t="s">
        <v>925</v>
      </c>
      <c r="B1041" t="s">
        <v>135</v>
      </c>
      <c r="C1041" t="s">
        <v>136</v>
      </c>
      <c r="D1041" t="s">
        <v>141</v>
      </c>
      <c r="E1041" t="s">
        <v>142</v>
      </c>
      <c r="F1041" t="str">
        <f>IFERROR(INDEX(Aux!E:E,MATCH(Dados!E1041,Aux!D:D,0)),INDEX(Aux!K:K,MATCH(Dados!B1041,Aux!I:I,0)))</f>
        <v>Direita</v>
      </c>
      <c r="G1041" s="2">
        <v>0</v>
      </c>
      <c r="H1041" s="2">
        <v>4022</v>
      </c>
    </row>
    <row r="1042" spans="1:8" x14ac:dyDescent="0.3">
      <c r="A1042" t="s">
        <v>925</v>
      </c>
      <c r="B1042" t="s">
        <v>4</v>
      </c>
      <c r="C1042" t="s">
        <v>5</v>
      </c>
      <c r="D1042" t="s">
        <v>30</v>
      </c>
      <c r="E1042" t="s">
        <v>31</v>
      </c>
      <c r="F1042" t="str">
        <f>IFERROR(INDEX(Aux!E:E,MATCH(Dados!E1042,Aux!D:D,0)),INDEX(Aux!K:K,MATCH(Dados!B1042,Aux!I:I,0)))</f>
        <v>Direita</v>
      </c>
      <c r="G1042" s="2">
        <v>0</v>
      </c>
      <c r="H1042" s="2">
        <v>179747</v>
      </c>
    </row>
    <row r="1043" spans="1:8" x14ac:dyDescent="0.3">
      <c r="A1043" t="s">
        <v>932</v>
      </c>
      <c r="B1043" t="s">
        <v>902</v>
      </c>
      <c r="C1043" t="s">
        <v>902</v>
      </c>
      <c r="D1043" t="s">
        <v>66</v>
      </c>
      <c r="E1043" t="s">
        <v>67</v>
      </c>
      <c r="F1043" t="str">
        <f>IFERROR(INDEX(Aux!E:E,MATCH(Dados!E1043,Aux!D:D,0)),INDEX(Aux!K:K,MATCH(Dados!B1043,Aux!I:I,0)))</f>
        <v>Centro</v>
      </c>
      <c r="G1043" s="2">
        <v>0</v>
      </c>
      <c r="H1043" s="2">
        <v>16829</v>
      </c>
    </row>
    <row r="1044" spans="1:8" x14ac:dyDescent="0.3">
      <c r="A1044" t="s">
        <v>932</v>
      </c>
      <c r="B1044" t="s">
        <v>899</v>
      </c>
      <c r="C1044" t="s">
        <v>900</v>
      </c>
      <c r="D1044" t="s">
        <v>66</v>
      </c>
      <c r="E1044" t="s">
        <v>67</v>
      </c>
      <c r="F1044" t="str">
        <f>IFERROR(INDEX(Aux!E:E,MATCH(Dados!E1044,Aux!D:D,0)),INDEX(Aux!K:K,MATCH(Dados!B1044,Aux!I:I,0)))</f>
        <v>Centro</v>
      </c>
      <c r="G1044" s="2">
        <v>0</v>
      </c>
      <c r="H1044" s="2">
        <v>59689</v>
      </c>
    </row>
    <row r="1045" spans="1:8" x14ac:dyDescent="0.3">
      <c r="A1045" t="s">
        <v>932</v>
      </c>
      <c r="B1045" t="s">
        <v>893</v>
      </c>
      <c r="C1045" t="s">
        <v>894</v>
      </c>
      <c r="D1045" t="s">
        <v>621</v>
      </c>
      <c r="E1045" t="s">
        <v>622</v>
      </c>
      <c r="F1045" t="str">
        <f>IFERROR(INDEX(Aux!E:E,MATCH(Dados!E1045,Aux!D:D,0)),INDEX(Aux!K:K,MATCH(Dados!B1045,Aux!I:I,0)))</f>
        <v>Indefinido</v>
      </c>
      <c r="G1045" s="2">
        <v>0</v>
      </c>
      <c r="H1045" s="2">
        <v>90785</v>
      </c>
    </row>
    <row r="1046" spans="1:8" x14ac:dyDescent="0.3">
      <c r="A1046" t="s">
        <v>932</v>
      </c>
      <c r="B1046" t="s">
        <v>875</v>
      </c>
      <c r="C1046" t="s">
        <v>876</v>
      </c>
      <c r="D1046" t="s">
        <v>621</v>
      </c>
      <c r="E1046" t="s">
        <v>622</v>
      </c>
      <c r="F1046" t="str">
        <f>IFERROR(INDEX(Aux!E:E,MATCH(Dados!E1046,Aux!D:D,0)),INDEX(Aux!K:K,MATCH(Dados!B1046,Aux!I:I,0)))</f>
        <v>Indefinido</v>
      </c>
      <c r="G1046" s="2">
        <v>0</v>
      </c>
      <c r="H1046" s="2">
        <v>148371</v>
      </c>
    </row>
    <row r="1047" spans="1:8" x14ac:dyDescent="0.3">
      <c r="A1047" t="s">
        <v>932</v>
      </c>
      <c r="B1047" t="s">
        <v>282</v>
      </c>
      <c r="C1047" t="s">
        <v>283</v>
      </c>
      <c r="D1047" t="s">
        <v>66</v>
      </c>
      <c r="E1047" t="s">
        <v>67</v>
      </c>
      <c r="F1047" t="str">
        <f>IFERROR(INDEX(Aux!E:E,MATCH(Dados!E1047,Aux!D:D,0)),INDEX(Aux!K:K,MATCH(Dados!B1047,Aux!I:I,0)))</f>
        <v>Centro</v>
      </c>
      <c r="G1047" s="2">
        <v>0</v>
      </c>
      <c r="H1047" s="2">
        <v>10320</v>
      </c>
    </row>
    <row r="1048" spans="1:8" x14ac:dyDescent="0.3">
      <c r="A1048" t="s">
        <v>932</v>
      </c>
      <c r="B1048" t="s">
        <v>871</v>
      </c>
      <c r="C1048" t="s">
        <v>872</v>
      </c>
      <c r="D1048" t="s">
        <v>727</v>
      </c>
      <c r="E1048" t="s">
        <v>728</v>
      </c>
      <c r="F1048" t="str">
        <f>IFERROR(INDEX(Aux!E:E,MATCH(Dados!E1048,Aux!D:D,0)),INDEX(Aux!K:K,MATCH(Dados!B1048,Aux!I:I,0)))</f>
        <v>Esquerda</v>
      </c>
      <c r="G1048" s="2">
        <v>0</v>
      </c>
      <c r="H1048" s="2">
        <v>7305</v>
      </c>
    </row>
    <row r="1049" spans="1:8" x14ac:dyDescent="0.3">
      <c r="A1049" t="s">
        <v>932</v>
      </c>
      <c r="B1049" t="s">
        <v>817</v>
      </c>
      <c r="C1049" t="s">
        <v>818</v>
      </c>
      <c r="D1049" t="s">
        <v>621</v>
      </c>
      <c r="E1049" t="s">
        <v>622</v>
      </c>
      <c r="F1049" t="str">
        <f>IFERROR(INDEX(Aux!E:E,MATCH(Dados!E1049,Aux!D:D,0)),INDEX(Aux!K:K,MATCH(Dados!B1049,Aux!I:I,0)))</f>
        <v>Indefinido</v>
      </c>
      <c r="G1049" s="2">
        <v>0</v>
      </c>
      <c r="H1049" s="2">
        <v>59166</v>
      </c>
    </row>
    <row r="1050" spans="1:8" x14ac:dyDescent="0.3">
      <c r="A1050" t="s">
        <v>932</v>
      </c>
      <c r="B1050" t="s">
        <v>866</v>
      </c>
      <c r="C1050" t="s">
        <v>867</v>
      </c>
      <c r="D1050" t="s">
        <v>253</v>
      </c>
      <c r="E1050" t="s">
        <v>254</v>
      </c>
      <c r="F1050" t="str">
        <f>IFERROR(INDEX(Aux!E:E,MATCH(Dados!E1050,Aux!D:D,0)),INDEX(Aux!K:K,MATCH(Dados!B1050,Aux!I:I,0)))</f>
        <v>Centro esquerda</v>
      </c>
      <c r="G1050" s="2">
        <v>0</v>
      </c>
      <c r="H1050" s="2">
        <v>14938</v>
      </c>
    </row>
    <row r="1051" spans="1:8" x14ac:dyDescent="0.3">
      <c r="A1051" t="s">
        <v>932</v>
      </c>
      <c r="B1051" t="s">
        <v>206</v>
      </c>
      <c r="C1051" t="s">
        <v>207</v>
      </c>
      <c r="D1051" t="s">
        <v>253</v>
      </c>
      <c r="E1051" t="s">
        <v>254</v>
      </c>
      <c r="F1051" t="str">
        <f>IFERROR(INDEX(Aux!E:E,MATCH(Dados!E1051,Aux!D:D,0)),INDEX(Aux!K:K,MATCH(Dados!B1051,Aux!I:I,0)))</f>
        <v>Centro esquerda</v>
      </c>
      <c r="G1051" s="2">
        <v>0</v>
      </c>
      <c r="H1051" s="2">
        <v>27453</v>
      </c>
    </row>
    <row r="1052" spans="1:8" x14ac:dyDescent="0.3">
      <c r="A1052" t="s">
        <v>932</v>
      </c>
      <c r="B1052" t="s">
        <v>756</v>
      </c>
      <c r="C1052" t="s">
        <v>757</v>
      </c>
      <c r="D1052" t="s">
        <v>253</v>
      </c>
      <c r="E1052" t="s">
        <v>254</v>
      </c>
      <c r="F1052" t="str">
        <f>IFERROR(INDEX(Aux!E:E,MATCH(Dados!E1052,Aux!D:D,0)),INDEX(Aux!K:K,MATCH(Dados!B1052,Aux!I:I,0)))</f>
        <v>Centro esquerda</v>
      </c>
      <c r="G1052" s="2">
        <v>0</v>
      </c>
      <c r="H1052" s="2">
        <v>53291</v>
      </c>
    </row>
    <row r="1053" spans="1:8" x14ac:dyDescent="0.3">
      <c r="A1053" t="s">
        <v>932</v>
      </c>
      <c r="B1053" t="s">
        <v>770</v>
      </c>
      <c r="C1053" t="s">
        <v>771</v>
      </c>
      <c r="D1053" t="s">
        <v>523</v>
      </c>
      <c r="E1053" t="s">
        <v>524</v>
      </c>
      <c r="F1053" t="str">
        <f>IFERROR(INDEX(Aux!E:E,MATCH(Dados!E1053,Aux!D:D,0)),INDEX(Aux!K:K,MATCH(Dados!B1053,Aux!I:I,0)))</f>
        <v>Esquerda</v>
      </c>
      <c r="G1053" s="2">
        <v>0</v>
      </c>
      <c r="H1053" s="2">
        <v>67305</v>
      </c>
    </row>
    <row r="1054" spans="1:8" x14ac:dyDescent="0.3">
      <c r="A1054" t="s">
        <v>932</v>
      </c>
      <c r="B1054" t="s">
        <v>857</v>
      </c>
      <c r="C1054" t="s">
        <v>858</v>
      </c>
      <c r="D1054" t="s">
        <v>727</v>
      </c>
      <c r="E1054" t="s">
        <v>728</v>
      </c>
      <c r="F1054" t="str">
        <f>IFERROR(INDEX(Aux!E:E,MATCH(Dados!E1054,Aux!D:D,0)),INDEX(Aux!K:K,MATCH(Dados!B1054,Aux!I:I,0)))</f>
        <v>Esquerda</v>
      </c>
      <c r="G1054" s="2">
        <v>0</v>
      </c>
      <c r="H1054" s="2">
        <v>23908</v>
      </c>
    </row>
    <row r="1055" spans="1:8" x14ac:dyDescent="0.3">
      <c r="A1055" t="s">
        <v>932</v>
      </c>
      <c r="B1055" t="s">
        <v>716</v>
      </c>
      <c r="C1055" t="s">
        <v>717</v>
      </c>
      <c r="D1055" t="s">
        <v>727</v>
      </c>
      <c r="E1055" t="s">
        <v>728</v>
      </c>
      <c r="F1055" t="str">
        <f>IFERROR(INDEX(Aux!E:E,MATCH(Dados!E1055,Aux!D:D,0)),INDEX(Aux!K:K,MATCH(Dados!B1055,Aux!I:I,0)))</f>
        <v>Esquerda</v>
      </c>
      <c r="G1055" s="2">
        <v>0</v>
      </c>
      <c r="H1055" s="2">
        <v>49294</v>
      </c>
    </row>
    <row r="1056" spans="1:8" x14ac:dyDescent="0.3">
      <c r="A1056" t="s">
        <v>932</v>
      </c>
      <c r="B1056" t="s">
        <v>690</v>
      </c>
      <c r="C1056" t="s">
        <v>691</v>
      </c>
      <c r="D1056" t="s">
        <v>253</v>
      </c>
      <c r="E1056" t="s">
        <v>254</v>
      </c>
      <c r="F1056" t="str">
        <f>IFERROR(INDEX(Aux!E:E,MATCH(Dados!E1056,Aux!D:D,0)),INDEX(Aux!K:K,MATCH(Dados!B1056,Aux!I:I,0)))</f>
        <v>Centro esquerda</v>
      </c>
      <c r="G1056" s="2">
        <v>0</v>
      </c>
      <c r="H1056" s="2">
        <v>33406</v>
      </c>
    </row>
    <row r="1057" spans="1:8" x14ac:dyDescent="0.3">
      <c r="A1057" t="s">
        <v>932</v>
      </c>
      <c r="B1057" t="s">
        <v>664</v>
      </c>
      <c r="C1057" t="s">
        <v>665</v>
      </c>
      <c r="D1057" t="s">
        <v>66</v>
      </c>
      <c r="E1057" t="s">
        <v>67</v>
      </c>
      <c r="F1057" t="str">
        <f>IFERROR(INDEX(Aux!E:E,MATCH(Dados!E1057,Aux!D:D,0)),INDEX(Aux!K:K,MATCH(Dados!B1057,Aux!I:I,0)))</f>
        <v>Centro</v>
      </c>
      <c r="G1057" s="2">
        <v>0</v>
      </c>
      <c r="H1057" s="2">
        <v>12376</v>
      </c>
    </row>
    <row r="1058" spans="1:8" x14ac:dyDescent="0.3">
      <c r="A1058" t="s">
        <v>932</v>
      </c>
      <c r="B1058" t="s">
        <v>737</v>
      </c>
      <c r="C1058" t="s">
        <v>738</v>
      </c>
      <c r="D1058" t="s">
        <v>66</v>
      </c>
      <c r="E1058" t="s">
        <v>67</v>
      </c>
      <c r="F1058" t="str">
        <f>IFERROR(INDEX(Aux!E:E,MATCH(Dados!E1058,Aux!D:D,0)),INDEX(Aux!K:K,MATCH(Dados!B1058,Aux!I:I,0)))</f>
        <v>Centro</v>
      </c>
      <c r="G1058" s="2">
        <v>0</v>
      </c>
      <c r="H1058" s="2">
        <v>73</v>
      </c>
    </row>
    <row r="1059" spans="1:8" x14ac:dyDescent="0.3">
      <c r="A1059" t="s">
        <v>932</v>
      </c>
      <c r="B1059" t="s">
        <v>488</v>
      </c>
      <c r="C1059" t="s">
        <v>489</v>
      </c>
      <c r="D1059" t="s">
        <v>523</v>
      </c>
      <c r="E1059" t="s">
        <v>524</v>
      </c>
      <c r="F1059" t="str">
        <f>IFERROR(INDEX(Aux!E:E,MATCH(Dados!E1059,Aux!D:D,0)),INDEX(Aux!K:K,MATCH(Dados!B1059,Aux!I:I,0)))</f>
        <v>Esquerda</v>
      </c>
      <c r="G1059" s="2">
        <v>0</v>
      </c>
      <c r="H1059" s="2">
        <v>81595</v>
      </c>
    </row>
    <row r="1060" spans="1:8" x14ac:dyDescent="0.3">
      <c r="A1060" t="s">
        <v>932</v>
      </c>
      <c r="B1060" t="s">
        <v>641</v>
      </c>
      <c r="C1060" t="s">
        <v>642</v>
      </c>
      <c r="D1060" t="s">
        <v>621</v>
      </c>
      <c r="E1060" t="s">
        <v>622</v>
      </c>
      <c r="F1060" t="str">
        <f>IFERROR(INDEX(Aux!E:E,MATCH(Dados!E1060,Aux!D:D,0)),INDEX(Aux!K:K,MATCH(Dados!B1060,Aux!I:I,0)))</f>
        <v>Indefinido</v>
      </c>
      <c r="G1060" s="2">
        <v>0</v>
      </c>
      <c r="H1060" s="2">
        <v>60979</v>
      </c>
    </row>
    <row r="1061" spans="1:8" x14ac:dyDescent="0.3">
      <c r="A1061" t="s">
        <v>932</v>
      </c>
      <c r="B1061" t="s">
        <v>599</v>
      </c>
      <c r="C1061" t="s">
        <v>600</v>
      </c>
      <c r="D1061" t="s">
        <v>621</v>
      </c>
      <c r="E1061" t="s">
        <v>622</v>
      </c>
      <c r="F1061" t="str">
        <f>IFERROR(INDEX(Aux!E:E,MATCH(Dados!E1061,Aux!D:D,0)),INDEX(Aux!K:K,MATCH(Dados!B1061,Aux!I:I,0)))</f>
        <v>Indefinido</v>
      </c>
      <c r="G1061" s="2">
        <v>0</v>
      </c>
      <c r="H1061" s="2">
        <v>101664</v>
      </c>
    </row>
    <row r="1062" spans="1:8" x14ac:dyDescent="0.3">
      <c r="A1062" t="s">
        <v>932</v>
      </c>
      <c r="B1062" t="s">
        <v>831</v>
      </c>
      <c r="C1062" t="s">
        <v>832</v>
      </c>
      <c r="D1062" t="s">
        <v>100</v>
      </c>
      <c r="E1062" t="s">
        <v>831</v>
      </c>
      <c r="F1062" t="str">
        <f>IFERROR(INDEX(Aux!E:E,MATCH(Dados!E1062,Aux!D:D,0)),INDEX(Aux!K:K,MATCH(Dados!B1062,Aux!I:I,0)))</f>
        <v>Centro esquerda</v>
      </c>
      <c r="G1062" s="2">
        <v>0</v>
      </c>
      <c r="H1062" s="2">
        <v>133878</v>
      </c>
    </row>
    <row r="1063" spans="1:8" x14ac:dyDescent="0.3">
      <c r="A1063" t="s">
        <v>932</v>
      </c>
      <c r="B1063" t="s">
        <v>558</v>
      </c>
      <c r="C1063" t="s">
        <v>559</v>
      </c>
      <c r="D1063" t="s">
        <v>100</v>
      </c>
      <c r="E1063" t="s">
        <v>558</v>
      </c>
      <c r="F1063" t="str">
        <f>IFERROR(INDEX(Aux!E:E,MATCH(Dados!E1063,Aux!D:D,0)),INDEX(Aux!K:K,MATCH(Dados!B1063,Aux!I:I,0)))</f>
        <v>Direita</v>
      </c>
      <c r="G1063" s="2">
        <v>0</v>
      </c>
      <c r="H1063" s="2">
        <v>104019</v>
      </c>
    </row>
    <row r="1064" spans="1:8" x14ac:dyDescent="0.3">
      <c r="A1064" t="s">
        <v>932</v>
      </c>
      <c r="B1064" t="s">
        <v>799</v>
      </c>
      <c r="C1064" t="s">
        <v>800</v>
      </c>
      <c r="D1064" t="s">
        <v>727</v>
      </c>
      <c r="E1064" t="s">
        <v>728</v>
      </c>
      <c r="F1064" t="str">
        <f>IFERROR(INDEX(Aux!E:E,MATCH(Dados!E1064,Aux!D:D,0)),INDEX(Aux!K:K,MATCH(Dados!B1064,Aux!I:I,0)))</f>
        <v>Esquerda</v>
      </c>
      <c r="G1064" s="2">
        <v>0</v>
      </c>
      <c r="H1064" s="2">
        <v>72386</v>
      </c>
    </row>
    <row r="1065" spans="1:8" x14ac:dyDescent="0.3">
      <c r="A1065" t="s">
        <v>932</v>
      </c>
      <c r="B1065" t="s">
        <v>440</v>
      </c>
      <c r="C1065" t="s">
        <v>441</v>
      </c>
      <c r="D1065" t="s">
        <v>381</v>
      </c>
      <c r="E1065" t="s">
        <v>382</v>
      </c>
      <c r="F1065" t="str">
        <f>IFERROR(INDEX(Aux!E:E,MATCH(Dados!E1065,Aux!D:D,0)),INDEX(Aux!K:K,MATCH(Dados!B1065,Aux!I:I,0)))</f>
        <v>Esquerda</v>
      </c>
      <c r="G1065" s="2">
        <v>0</v>
      </c>
      <c r="H1065" s="2">
        <v>22538</v>
      </c>
    </row>
    <row r="1066" spans="1:8" x14ac:dyDescent="0.3">
      <c r="A1066" t="s">
        <v>932</v>
      </c>
      <c r="B1066" t="s">
        <v>388</v>
      </c>
      <c r="C1066" t="s">
        <v>389</v>
      </c>
      <c r="D1066" t="s">
        <v>100</v>
      </c>
      <c r="E1066" t="s">
        <v>388</v>
      </c>
      <c r="F1066" t="str">
        <f>IFERROR(INDEX(Aux!E:E,MATCH(Dados!E1066,Aux!D:D,0)),INDEX(Aux!K:K,MATCH(Dados!B1066,Aux!I:I,0)))</f>
        <v>Centro direita</v>
      </c>
      <c r="G1066" s="2">
        <v>0</v>
      </c>
      <c r="H1066" s="2">
        <v>36</v>
      </c>
    </row>
    <row r="1067" spans="1:8" x14ac:dyDescent="0.3">
      <c r="A1067" t="s">
        <v>932</v>
      </c>
      <c r="B1067" t="s">
        <v>334</v>
      </c>
      <c r="C1067" t="s">
        <v>335</v>
      </c>
      <c r="D1067" t="s">
        <v>381</v>
      </c>
      <c r="E1067" t="s">
        <v>382</v>
      </c>
      <c r="F1067" t="str">
        <f>IFERROR(INDEX(Aux!E:E,MATCH(Dados!E1067,Aux!D:D,0)),INDEX(Aux!K:K,MATCH(Dados!B1067,Aux!I:I,0)))</f>
        <v>Esquerda</v>
      </c>
      <c r="G1067" s="2">
        <v>0</v>
      </c>
      <c r="H1067" s="2">
        <v>97978</v>
      </c>
    </row>
    <row r="1068" spans="1:8" x14ac:dyDescent="0.3">
      <c r="A1068" t="s">
        <v>932</v>
      </c>
      <c r="B1068" t="s">
        <v>4</v>
      </c>
      <c r="C1068" t="s">
        <v>5</v>
      </c>
      <c r="D1068" t="s">
        <v>66</v>
      </c>
      <c r="E1068" t="s">
        <v>67</v>
      </c>
      <c r="F1068" t="str">
        <f>IFERROR(INDEX(Aux!E:E,MATCH(Dados!E1068,Aux!D:D,0)),INDEX(Aux!K:K,MATCH(Dados!B1068,Aux!I:I,0)))</f>
        <v>Centro</v>
      </c>
      <c r="G1068" s="2">
        <v>0</v>
      </c>
      <c r="H1068" s="2">
        <v>39467</v>
      </c>
    </row>
    <row r="1069" spans="1:8" x14ac:dyDescent="0.3">
      <c r="A1069" t="s">
        <v>927</v>
      </c>
      <c r="B1069" t="s">
        <v>902</v>
      </c>
      <c r="C1069" t="s">
        <v>902</v>
      </c>
      <c r="D1069" t="s">
        <v>302</v>
      </c>
      <c r="E1069" t="s">
        <v>303</v>
      </c>
      <c r="F1069" t="str">
        <f>IFERROR(INDEX(Aux!E:E,MATCH(Dados!E1069,Aux!D:D,0)),INDEX(Aux!K:K,MATCH(Dados!B1069,Aux!I:I,0)))</f>
        <v>Centro</v>
      </c>
      <c r="G1069" s="2">
        <v>0</v>
      </c>
      <c r="H1069" s="2">
        <v>8566</v>
      </c>
    </row>
    <row r="1070" spans="1:8" x14ac:dyDescent="0.3">
      <c r="A1070" t="s">
        <v>927</v>
      </c>
      <c r="B1070" t="s">
        <v>899</v>
      </c>
      <c r="C1070" t="s">
        <v>900</v>
      </c>
      <c r="D1070" t="s">
        <v>404</v>
      </c>
      <c r="E1070" t="s">
        <v>405</v>
      </c>
      <c r="F1070" t="str">
        <f>IFERROR(INDEX(Aux!E:E,MATCH(Dados!E1070,Aux!D:D,0)),INDEX(Aux!K:K,MATCH(Dados!B1070,Aux!I:I,0)))</f>
        <v>Direita</v>
      </c>
      <c r="G1070" s="2">
        <v>0</v>
      </c>
      <c r="H1070" s="2">
        <v>1062</v>
      </c>
    </row>
    <row r="1071" spans="1:8" x14ac:dyDescent="0.3">
      <c r="A1071" t="s">
        <v>927</v>
      </c>
      <c r="B1071" t="s">
        <v>893</v>
      </c>
      <c r="C1071" t="s">
        <v>894</v>
      </c>
      <c r="D1071" t="s">
        <v>701</v>
      </c>
      <c r="E1071" t="s">
        <v>702</v>
      </c>
      <c r="F1071" t="str">
        <f>IFERROR(INDEX(Aux!E:E,MATCH(Dados!E1071,Aux!D:D,0)),INDEX(Aux!K:K,MATCH(Dados!B1071,Aux!I:I,0)))</f>
        <v>Indefinido</v>
      </c>
      <c r="G1071" s="2">
        <v>0</v>
      </c>
      <c r="H1071" s="2">
        <v>66840</v>
      </c>
    </row>
    <row r="1072" spans="1:8" x14ac:dyDescent="0.3">
      <c r="A1072" t="s">
        <v>927</v>
      </c>
      <c r="B1072" t="s">
        <v>875</v>
      </c>
      <c r="C1072" t="s">
        <v>876</v>
      </c>
      <c r="D1072" t="s">
        <v>100</v>
      </c>
      <c r="E1072" t="s">
        <v>875</v>
      </c>
      <c r="F1072" t="str">
        <f>IFERROR(INDEX(Aux!E:E,MATCH(Dados!E1072,Aux!D:D,0)),INDEX(Aux!K:K,MATCH(Dados!B1072,Aux!I:I,0)))</f>
        <v>Centro</v>
      </c>
      <c r="G1072" s="2">
        <v>0</v>
      </c>
      <c r="H1072" s="2">
        <v>133174</v>
      </c>
    </row>
    <row r="1073" spans="1:8" x14ac:dyDescent="0.3">
      <c r="A1073" t="s">
        <v>927</v>
      </c>
      <c r="B1073" t="s">
        <v>282</v>
      </c>
      <c r="C1073" t="s">
        <v>283</v>
      </c>
      <c r="D1073" t="s">
        <v>302</v>
      </c>
      <c r="E1073" t="s">
        <v>303</v>
      </c>
      <c r="F1073" t="str">
        <f>IFERROR(INDEX(Aux!E:E,MATCH(Dados!E1073,Aux!D:D,0)),INDEX(Aux!K:K,MATCH(Dados!B1073,Aux!I:I,0)))</f>
        <v>Centro</v>
      </c>
      <c r="G1073" s="2">
        <v>0</v>
      </c>
      <c r="H1073" s="2">
        <v>39050</v>
      </c>
    </row>
    <row r="1074" spans="1:8" x14ac:dyDescent="0.3">
      <c r="A1074" t="s">
        <v>927</v>
      </c>
      <c r="B1074" t="s">
        <v>817</v>
      </c>
      <c r="C1074" t="s">
        <v>818</v>
      </c>
      <c r="D1074" t="s">
        <v>718</v>
      </c>
      <c r="E1074" t="s">
        <v>719</v>
      </c>
      <c r="F1074" t="str">
        <f>IFERROR(INDEX(Aux!E:E,MATCH(Dados!E1074,Aux!D:D,0)),INDEX(Aux!K:K,MATCH(Dados!B1074,Aux!I:I,0)))</f>
        <v>Centro esquerda</v>
      </c>
      <c r="G1074" s="2">
        <v>0</v>
      </c>
      <c r="H1074" s="2">
        <v>84046</v>
      </c>
    </row>
    <row r="1075" spans="1:8" x14ac:dyDescent="0.3">
      <c r="A1075" t="s">
        <v>927</v>
      </c>
      <c r="B1075" t="s">
        <v>787</v>
      </c>
      <c r="C1075" t="s">
        <v>788</v>
      </c>
      <c r="D1075" t="s">
        <v>404</v>
      </c>
      <c r="E1075" t="s">
        <v>405</v>
      </c>
      <c r="F1075" t="str">
        <f>IFERROR(INDEX(Aux!E:E,MATCH(Dados!E1075,Aux!D:D,0)),INDEX(Aux!K:K,MATCH(Dados!B1075,Aux!I:I,0)))</f>
        <v>Direita</v>
      </c>
      <c r="G1075" s="2">
        <v>0</v>
      </c>
      <c r="H1075" s="2">
        <v>12126</v>
      </c>
    </row>
    <row r="1076" spans="1:8" x14ac:dyDescent="0.3">
      <c r="A1076" t="s">
        <v>927</v>
      </c>
      <c r="B1076" t="s">
        <v>864</v>
      </c>
      <c r="C1076" t="s">
        <v>865</v>
      </c>
      <c r="D1076" t="s">
        <v>38</v>
      </c>
      <c r="E1076" t="s">
        <v>39</v>
      </c>
      <c r="F1076" t="str">
        <f>IFERROR(INDEX(Aux!E:E,MATCH(Dados!E1076,Aux!D:D,0)),INDEX(Aux!K:K,MATCH(Dados!B1076,Aux!I:I,0)))</f>
        <v>Centro</v>
      </c>
      <c r="G1076" s="2">
        <v>0</v>
      </c>
      <c r="H1076" s="2">
        <v>1727</v>
      </c>
    </row>
    <row r="1077" spans="1:8" x14ac:dyDescent="0.3">
      <c r="A1077" t="s">
        <v>927</v>
      </c>
      <c r="B1077" t="s">
        <v>866</v>
      </c>
      <c r="C1077" t="s">
        <v>867</v>
      </c>
      <c r="D1077" t="s">
        <v>302</v>
      </c>
      <c r="E1077" t="s">
        <v>303</v>
      </c>
      <c r="F1077" t="str">
        <f>IFERROR(INDEX(Aux!E:E,MATCH(Dados!E1077,Aux!D:D,0)),INDEX(Aux!K:K,MATCH(Dados!B1077,Aux!I:I,0)))</f>
        <v>Centro</v>
      </c>
      <c r="G1077" s="2">
        <v>0</v>
      </c>
      <c r="H1077" s="2">
        <v>2697</v>
      </c>
    </row>
    <row r="1078" spans="1:8" x14ac:dyDescent="0.3">
      <c r="A1078" t="s">
        <v>927</v>
      </c>
      <c r="B1078" t="s">
        <v>206</v>
      </c>
      <c r="C1078" t="s">
        <v>207</v>
      </c>
      <c r="D1078" t="s">
        <v>100</v>
      </c>
      <c r="E1078" t="s">
        <v>206</v>
      </c>
      <c r="F1078" t="str">
        <f>IFERROR(INDEX(Aux!E:E,MATCH(Dados!E1078,Aux!D:D,0)),INDEX(Aux!K:K,MATCH(Dados!B1078,Aux!I:I,0)))</f>
        <v>Centro direita</v>
      </c>
      <c r="G1078" s="2">
        <v>0</v>
      </c>
      <c r="H1078" s="2">
        <v>20943</v>
      </c>
    </row>
    <row r="1079" spans="1:8" x14ac:dyDescent="0.3">
      <c r="A1079" t="s">
        <v>927</v>
      </c>
      <c r="B1079" t="s">
        <v>756</v>
      </c>
      <c r="C1079" t="s">
        <v>757</v>
      </c>
      <c r="D1079" t="s">
        <v>38</v>
      </c>
      <c r="E1079" t="s">
        <v>39</v>
      </c>
      <c r="F1079" t="str">
        <f>IFERROR(INDEX(Aux!E:E,MATCH(Dados!E1079,Aux!D:D,0)),INDEX(Aux!K:K,MATCH(Dados!B1079,Aux!I:I,0)))</f>
        <v>Centro</v>
      </c>
      <c r="G1079" s="2">
        <v>0</v>
      </c>
      <c r="H1079" s="2">
        <v>36570</v>
      </c>
    </row>
    <row r="1080" spans="1:8" x14ac:dyDescent="0.3">
      <c r="A1080" t="s">
        <v>927</v>
      </c>
      <c r="B1080" t="s">
        <v>770</v>
      </c>
      <c r="C1080" t="s">
        <v>771</v>
      </c>
      <c r="D1080" t="s">
        <v>38</v>
      </c>
      <c r="E1080" t="s">
        <v>39</v>
      </c>
      <c r="F1080" t="str">
        <f>IFERROR(INDEX(Aux!E:E,MATCH(Dados!E1080,Aux!D:D,0)),INDEX(Aux!K:K,MATCH(Dados!B1080,Aux!I:I,0)))</f>
        <v>Centro</v>
      </c>
      <c r="G1080" s="2">
        <v>0</v>
      </c>
      <c r="H1080" s="2">
        <v>11550</v>
      </c>
    </row>
    <row r="1081" spans="1:8" x14ac:dyDescent="0.3">
      <c r="A1081" t="s">
        <v>927</v>
      </c>
      <c r="B1081" t="s">
        <v>857</v>
      </c>
      <c r="C1081" t="s">
        <v>858</v>
      </c>
      <c r="D1081" t="s">
        <v>404</v>
      </c>
      <c r="E1081" t="s">
        <v>405</v>
      </c>
      <c r="F1081" t="str">
        <f>IFERROR(INDEX(Aux!E:E,MATCH(Dados!E1081,Aux!D:D,0)),INDEX(Aux!K:K,MATCH(Dados!B1081,Aux!I:I,0)))</f>
        <v>Direita</v>
      </c>
      <c r="G1081" s="2">
        <v>0</v>
      </c>
      <c r="H1081" s="2">
        <v>14711</v>
      </c>
    </row>
    <row r="1082" spans="1:8" x14ac:dyDescent="0.3">
      <c r="A1082" t="s">
        <v>927</v>
      </c>
      <c r="B1082" t="s">
        <v>716</v>
      </c>
      <c r="C1082" t="s">
        <v>717</v>
      </c>
      <c r="D1082" t="s">
        <v>718</v>
      </c>
      <c r="E1082" t="s">
        <v>719</v>
      </c>
      <c r="F1082" t="str">
        <f>IFERROR(INDEX(Aux!E:E,MATCH(Dados!E1082,Aux!D:D,0)),INDEX(Aux!K:K,MATCH(Dados!B1082,Aux!I:I,0)))</f>
        <v>Centro esquerda</v>
      </c>
      <c r="G1082" s="2">
        <v>0</v>
      </c>
      <c r="H1082" s="2">
        <v>40390</v>
      </c>
    </row>
    <row r="1083" spans="1:8" x14ac:dyDescent="0.3">
      <c r="A1083" t="s">
        <v>927</v>
      </c>
      <c r="B1083" t="s">
        <v>690</v>
      </c>
      <c r="C1083" t="s">
        <v>691</v>
      </c>
      <c r="D1083" t="s">
        <v>701</v>
      </c>
      <c r="E1083" t="s">
        <v>702</v>
      </c>
      <c r="F1083" t="str">
        <f>IFERROR(INDEX(Aux!E:E,MATCH(Dados!E1083,Aux!D:D,0)),INDEX(Aux!K:K,MATCH(Dados!B1083,Aux!I:I,0)))</f>
        <v>Indefinido</v>
      </c>
      <c r="G1083" s="2">
        <v>0</v>
      </c>
      <c r="H1083" s="2">
        <v>1721</v>
      </c>
    </row>
    <row r="1084" spans="1:8" x14ac:dyDescent="0.3">
      <c r="A1084" t="s">
        <v>927</v>
      </c>
      <c r="B1084" t="s">
        <v>737</v>
      </c>
      <c r="C1084" t="s">
        <v>738</v>
      </c>
      <c r="D1084" t="s">
        <v>404</v>
      </c>
      <c r="E1084" t="s">
        <v>405</v>
      </c>
      <c r="F1084" t="str">
        <f>IFERROR(INDEX(Aux!E:E,MATCH(Dados!E1084,Aux!D:D,0)),INDEX(Aux!K:K,MATCH(Dados!B1084,Aux!I:I,0)))</f>
        <v>Direita</v>
      </c>
      <c r="G1084" s="2">
        <v>0</v>
      </c>
      <c r="H1084" s="2">
        <v>775</v>
      </c>
    </row>
    <row r="1085" spans="1:8" x14ac:dyDescent="0.3">
      <c r="A1085" t="s">
        <v>927</v>
      </c>
      <c r="B1085" t="s">
        <v>488</v>
      </c>
      <c r="C1085" t="s">
        <v>489</v>
      </c>
      <c r="D1085" t="s">
        <v>38</v>
      </c>
      <c r="E1085" t="s">
        <v>39</v>
      </c>
      <c r="F1085" t="str">
        <f>IFERROR(INDEX(Aux!E:E,MATCH(Dados!E1085,Aux!D:D,0)),INDEX(Aux!K:K,MATCH(Dados!B1085,Aux!I:I,0)))</f>
        <v>Centro</v>
      </c>
      <c r="G1085" s="2">
        <v>0</v>
      </c>
      <c r="H1085" s="2">
        <v>13946</v>
      </c>
    </row>
    <row r="1086" spans="1:8" x14ac:dyDescent="0.3">
      <c r="A1086" t="s">
        <v>927</v>
      </c>
      <c r="B1086" t="s">
        <v>641</v>
      </c>
      <c r="C1086" t="s">
        <v>642</v>
      </c>
      <c r="D1086" t="s">
        <v>404</v>
      </c>
      <c r="E1086" t="s">
        <v>405</v>
      </c>
      <c r="F1086" t="str">
        <f>IFERROR(INDEX(Aux!E:E,MATCH(Dados!E1086,Aux!D:D,0)),INDEX(Aux!K:K,MATCH(Dados!B1086,Aux!I:I,0)))</f>
        <v>Direita</v>
      </c>
      <c r="G1086" s="2">
        <v>0</v>
      </c>
      <c r="H1086" s="2">
        <v>9797</v>
      </c>
    </row>
    <row r="1087" spans="1:8" x14ac:dyDescent="0.3">
      <c r="A1087" t="s">
        <v>927</v>
      </c>
      <c r="B1087" t="s">
        <v>599</v>
      </c>
      <c r="C1087" t="s">
        <v>600</v>
      </c>
      <c r="D1087" t="s">
        <v>302</v>
      </c>
      <c r="E1087" t="s">
        <v>303</v>
      </c>
      <c r="F1087" t="str">
        <f>IFERROR(INDEX(Aux!E:E,MATCH(Dados!E1087,Aux!D:D,0)),INDEX(Aux!K:K,MATCH(Dados!B1087,Aux!I:I,0)))</f>
        <v>Centro</v>
      </c>
      <c r="G1087" s="2">
        <v>0</v>
      </c>
      <c r="H1087" s="2">
        <v>68436</v>
      </c>
    </row>
    <row r="1088" spans="1:8" x14ac:dyDescent="0.3">
      <c r="A1088" t="s">
        <v>927</v>
      </c>
      <c r="B1088" t="s">
        <v>831</v>
      </c>
      <c r="C1088" t="s">
        <v>832</v>
      </c>
      <c r="D1088" t="s">
        <v>701</v>
      </c>
      <c r="E1088" t="s">
        <v>702</v>
      </c>
      <c r="F1088" t="str">
        <f>IFERROR(INDEX(Aux!E:E,MATCH(Dados!E1088,Aux!D:D,0)),INDEX(Aux!K:K,MATCH(Dados!B1088,Aux!I:I,0)))</f>
        <v>Indefinido</v>
      </c>
      <c r="G1088" s="2">
        <v>0</v>
      </c>
      <c r="H1088" s="2">
        <v>261141</v>
      </c>
    </row>
    <row r="1089" spans="1:8" x14ac:dyDescent="0.3">
      <c r="A1089" t="s">
        <v>927</v>
      </c>
      <c r="B1089" t="s">
        <v>558</v>
      </c>
      <c r="C1089" t="s">
        <v>559</v>
      </c>
      <c r="D1089" t="s">
        <v>38</v>
      </c>
      <c r="E1089" t="s">
        <v>39</v>
      </c>
      <c r="F1089" t="str">
        <f>IFERROR(INDEX(Aux!E:E,MATCH(Dados!E1089,Aux!D:D,0)),INDEX(Aux!K:K,MATCH(Dados!B1089,Aux!I:I,0)))</f>
        <v>Centro</v>
      </c>
      <c r="G1089" s="2">
        <v>0</v>
      </c>
      <c r="H1089" s="2">
        <v>147214</v>
      </c>
    </row>
    <row r="1090" spans="1:8" x14ac:dyDescent="0.3">
      <c r="A1090" t="s">
        <v>927</v>
      </c>
      <c r="B1090" t="s">
        <v>440</v>
      </c>
      <c r="C1090" t="s">
        <v>441</v>
      </c>
      <c r="D1090" t="s">
        <v>38</v>
      </c>
      <c r="E1090" t="s">
        <v>39</v>
      </c>
      <c r="F1090" t="str">
        <f>IFERROR(INDEX(Aux!E:E,MATCH(Dados!E1090,Aux!D:D,0)),INDEX(Aux!K:K,MATCH(Dados!B1090,Aux!I:I,0)))</f>
        <v>Centro</v>
      </c>
      <c r="G1090" s="2">
        <v>0</v>
      </c>
      <c r="H1090" s="2">
        <v>41989</v>
      </c>
    </row>
    <row r="1091" spans="1:8" x14ac:dyDescent="0.3">
      <c r="A1091" t="s">
        <v>927</v>
      </c>
      <c r="B1091" t="s">
        <v>388</v>
      </c>
      <c r="C1091" t="s">
        <v>389</v>
      </c>
      <c r="D1091" t="s">
        <v>404</v>
      </c>
      <c r="E1091" t="s">
        <v>405</v>
      </c>
      <c r="F1091" t="str">
        <f>IFERROR(INDEX(Aux!E:E,MATCH(Dados!E1091,Aux!D:D,0)),INDEX(Aux!K:K,MATCH(Dados!B1091,Aux!I:I,0)))</f>
        <v>Direita</v>
      </c>
      <c r="G1091" s="2">
        <v>0</v>
      </c>
      <c r="H1091" s="2">
        <v>4511</v>
      </c>
    </row>
    <row r="1092" spans="1:8" x14ac:dyDescent="0.3">
      <c r="A1092" t="s">
        <v>927</v>
      </c>
      <c r="B1092" t="s">
        <v>4</v>
      </c>
      <c r="C1092" t="s">
        <v>5</v>
      </c>
      <c r="D1092" t="s">
        <v>38</v>
      </c>
      <c r="E1092" t="s">
        <v>39</v>
      </c>
      <c r="F1092" t="str">
        <f>IFERROR(INDEX(Aux!E:E,MATCH(Dados!E1092,Aux!D:D,0)),INDEX(Aux!K:K,MATCH(Dados!B1092,Aux!I:I,0)))</f>
        <v>Centro</v>
      </c>
      <c r="G1092" s="2">
        <v>0</v>
      </c>
      <c r="H1092" s="2">
        <v>40332</v>
      </c>
    </row>
    <row r="1093" spans="1:8" x14ac:dyDescent="0.3">
      <c r="A1093" t="s">
        <v>916</v>
      </c>
      <c r="B1093" t="s">
        <v>899</v>
      </c>
      <c r="C1093" t="s">
        <v>900</v>
      </c>
      <c r="D1093" t="s">
        <v>100</v>
      </c>
      <c r="E1093" t="s">
        <v>899</v>
      </c>
      <c r="F1093" t="str">
        <f>IFERROR(INDEX(Aux!E:E,MATCH(Dados!E1093,Aux!D:D,0)),INDEX(Aux!K:K,MATCH(Dados!B1093,Aux!I:I,0)))</f>
        <v>Direita</v>
      </c>
      <c r="G1093" s="2">
        <v>0</v>
      </c>
      <c r="H1093" s="2">
        <v>172828</v>
      </c>
    </row>
    <row r="1094" spans="1:8" x14ac:dyDescent="0.3">
      <c r="A1094" t="s">
        <v>916</v>
      </c>
      <c r="B1094" t="s">
        <v>893</v>
      </c>
      <c r="C1094" t="s">
        <v>894</v>
      </c>
      <c r="D1094" t="s">
        <v>639</v>
      </c>
      <c r="E1094" t="s">
        <v>640</v>
      </c>
      <c r="F1094" t="str">
        <f>IFERROR(INDEX(Aux!E:E,MATCH(Dados!E1094,Aux!D:D,0)),INDEX(Aux!K:K,MATCH(Dados!B1094,Aux!I:I,0)))</f>
        <v>Indefinido</v>
      </c>
      <c r="G1094" s="2">
        <v>0</v>
      </c>
      <c r="H1094" s="2">
        <v>251749</v>
      </c>
    </row>
    <row r="1095" spans="1:8" x14ac:dyDescent="0.3">
      <c r="A1095" t="s">
        <v>916</v>
      </c>
      <c r="B1095" t="s">
        <v>875</v>
      </c>
      <c r="C1095" t="s">
        <v>876</v>
      </c>
      <c r="D1095" t="s">
        <v>274</v>
      </c>
      <c r="E1095" t="s">
        <v>275</v>
      </c>
      <c r="F1095" t="str">
        <f>IFERROR(INDEX(Aux!E:E,MATCH(Dados!E1095,Aux!D:D,0)),INDEX(Aux!K:K,MATCH(Dados!B1095,Aux!I:I,0)))</f>
        <v>Centro</v>
      </c>
      <c r="G1095" s="2">
        <v>0</v>
      </c>
      <c r="H1095" s="2">
        <v>705924</v>
      </c>
    </row>
    <row r="1096" spans="1:8" x14ac:dyDescent="0.3">
      <c r="A1096" t="s">
        <v>916</v>
      </c>
      <c r="B1096" t="s">
        <v>871</v>
      </c>
      <c r="C1096" t="s">
        <v>872</v>
      </c>
      <c r="D1096" t="s">
        <v>100</v>
      </c>
      <c r="E1096" t="s">
        <v>871</v>
      </c>
      <c r="F1096" t="str">
        <f>IFERROR(INDEX(Aux!E:E,MATCH(Dados!E1096,Aux!D:D,0)),INDEX(Aux!K:K,MATCH(Dados!B1096,Aux!I:I,0)))</f>
        <v>Esquerda</v>
      </c>
      <c r="G1096" s="2">
        <v>0</v>
      </c>
      <c r="H1096" s="2">
        <v>208887</v>
      </c>
    </row>
    <row r="1097" spans="1:8" x14ac:dyDescent="0.3">
      <c r="A1097" t="s">
        <v>916</v>
      </c>
      <c r="B1097" t="s">
        <v>817</v>
      </c>
      <c r="C1097" t="s">
        <v>818</v>
      </c>
      <c r="D1097" t="s">
        <v>274</v>
      </c>
      <c r="E1097" t="s">
        <v>275</v>
      </c>
      <c r="F1097" t="str">
        <f>IFERROR(INDEX(Aux!E:E,MATCH(Dados!E1097,Aux!D:D,0)),INDEX(Aux!K:K,MATCH(Dados!B1097,Aux!I:I,0)))</f>
        <v>Centro</v>
      </c>
      <c r="G1097" s="2">
        <v>0</v>
      </c>
      <c r="H1097" s="2">
        <v>209248</v>
      </c>
    </row>
    <row r="1098" spans="1:8" x14ac:dyDescent="0.3">
      <c r="A1098" t="s">
        <v>916</v>
      </c>
      <c r="B1098" t="s">
        <v>787</v>
      </c>
      <c r="C1098" t="s">
        <v>788</v>
      </c>
      <c r="D1098" t="s">
        <v>100</v>
      </c>
      <c r="E1098" t="s">
        <v>787</v>
      </c>
      <c r="F1098" t="str">
        <f>IFERROR(INDEX(Aux!E:E,MATCH(Dados!E1098,Aux!D:D,0)),INDEX(Aux!K:K,MATCH(Dados!B1098,Aux!I:I,0)))</f>
        <v>Centro direita</v>
      </c>
      <c r="G1098" s="2">
        <v>0</v>
      </c>
      <c r="H1098" s="2">
        <v>373014</v>
      </c>
    </row>
    <row r="1099" spans="1:8" x14ac:dyDescent="0.3">
      <c r="A1099" t="s">
        <v>916</v>
      </c>
      <c r="B1099" t="s">
        <v>866</v>
      </c>
      <c r="C1099" t="s">
        <v>867</v>
      </c>
      <c r="D1099" t="s">
        <v>457</v>
      </c>
      <c r="E1099" t="s">
        <v>458</v>
      </c>
      <c r="F1099" t="str">
        <f>IFERROR(INDEX(Aux!E:E,MATCH(Dados!E1099,Aux!D:D,0)),INDEX(Aux!K:K,MATCH(Dados!B1099,Aux!I:I,0)))</f>
        <v>Centro esquerda</v>
      </c>
      <c r="G1099" s="2">
        <v>0</v>
      </c>
      <c r="H1099" s="2">
        <v>58033</v>
      </c>
    </row>
    <row r="1100" spans="1:8" x14ac:dyDescent="0.3">
      <c r="A1100" t="s">
        <v>916</v>
      </c>
      <c r="B1100" t="s">
        <v>206</v>
      </c>
      <c r="C1100" t="s">
        <v>207</v>
      </c>
      <c r="D1100" t="s">
        <v>274</v>
      </c>
      <c r="E1100" t="s">
        <v>275</v>
      </c>
      <c r="F1100" t="str">
        <f>IFERROR(INDEX(Aux!E:E,MATCH(Dados!E1100,Aux!D:D,0)),INDEX(Aux!K:K,MATCH(Dados!B1100,Aux!I:I,0)))</f>
        <v>Centro</v>
      </c>
      <c r="G1100" s="2">
        <v>0</v>
      </c>
      <c r="H1100" s="2">
        <v>246234</v>
      </c>
    </row>
    <row r="1101" spans="1:8" x14ac:dyDescent="0.3">
      <c r="A1101" t="s">
        <v>916</v>
      </c>
      <c r="B1101" t="s">
        <v>756</v>
      </c>
      <c r="C1101" t="s">
        <v>757</v>
      </c>
      <c r="D1101" t="s">
        <v>639</v>
      </c>
      <c r="E1101" t="s">
        <v>640</v>
      </c>
      <c r="F1101" t="str">
        <f>IFERROR(INDEX(Aux!E:E,MATCH(Dados!E1101,Aux!D:D,0)),INDEX(Aux!K:K,MATCH(Dados!B1101,Aux!I:I,0)))</f>
        <v>Indefinido</v>
      </c>
      <c r="G1101" s="2">
        <v>0</v>
      </c>
      <c r="H1101" s="2">
        <v>140639</v>
      </c>
    </row>
    <row r="1102" spans="1:8" x14ac:dyDescent="0.3">
      <c r="A1102" t="s">
        <v>916</v>
      </c>
      <c r="B1102" t="s">
        <v>783</v>
      </c>
      <c r="C1102" t="s">
        <v>784</v>
      </c>
      <c r="D1102" t="s">
        <v>686</v>
      </c>
      <c r="E1102" t="s">
        <v>687</v>
      </c>
      <c r="F1102" t="str">
        <f>IFERROR(INDEX(Aux!E:E,MATCH(Dados!E1102,Aux!D:D,0)),INDEX(Aux!K:K,MATCH(Dados!B1102,Aux!I:I,0)))</f>
        <v>Esquerda</v>
      </c>
      <c r="G1102" s="2">
        <v>0</v>
      </c>
      <c r="H1102" s="2">
        <v>9921</v>
      </c>
    </row>
    <row r="1103" spans="1:8" x14ac:dyDescent="0.3">
      <c r="A1103" t="s">
        <v>916</v>
      </c>
      <c r="B1103" t="s">
        <v>770</v>
      </c>
      <c r="C1103" t="s">
        <v>771</v>
      </c>
      <c r="D1103" t="s">
        <v>639</v>
      </c>
      <c r="E1103" t="s">
        <v>640</v>
      </c>
      <c r="F1103" t="str">
        <f>IFERROR(INDEX(Aux!E:E,MATCH(Dados!E1103,Aux!D:D,0)),INDEX(Aux!K:K,MATCH(Dados!B1103,Aux!I:I,0)))</f>
        <v>Indefinido</v>
      </c>
      <c r="G1103" s="2">
        <v>0</v>
      </c>
      <c r="H1103" s="2">
        <v>189259</v>
      </c>
    </row>
    <row r="1104" spans="1:8" x14ac:dyDescent="0.3">
      <c r="A1104" t="s">
        <v>916</v>
      </c>
      <c r="B1104" t="s">
        <v>857</v>
      </c>
      <c r="C1104" t="s">
        <v>858</v>
      </c>
      <c r="D1104" t="s">
        <v>536</v>
      </c>
      <c r="E1104" t="s">
        <v>537</v>
      </c>
      <c r="F1104" t="str">
        <f>IFERROR(INDEX(Aux!E:E,MATCH(Dados!E1104,Aux!D:D,0)),INDEX(Aux!K:K,MATCH(Dados!B1104,Aux!I:I,0)))</f>
        <v>Centro direita</v>
      </c>
      <c r="G1104" s="2">
        <v>0</v>
      </c>
      <c r="H1104" s="2">
        <v>186636</v>
      </c>
    </row>
    <row r="1105" spans="1:8" x14ac:dyDescent="0.3">
      <c r="A1105" t="s">
        <v>916</v>
      </c>
      <c r="B1105" t="s">
        <v>716</v>
      </c>
      <c r="C1105" t="s">
        <v>717</v>
      </c>
      <c r="D1105" t="s">
        <v>274</v>
      </c>
      <c r="E1105" t="s">
        <v>275</v>
      </c>
      <c r="F1105" t="str">
        <f>IFERROR(INDEX(Aux!E:E,MATCH(Dados!E1105,Aux!D:D,0)),INDEX(Aux!K:K,MATCH(Dados!B1105,Aux!I:I,0)))</f>
        <v>Centro</v>
      </c>
      <c r="G1105" s="2">
        <v>0</v>
      </c>
      <c r="H1105" s="2">
        <v>706448</v>
      </c>
    </row>
    <row r="1106" spans="1:8" x14ac:dyDescent="0.3">
      <c r="A1106" t="s">
        <v>916</v>
      </c>
      <c r="B1106" t="s">
        <v>664</v>
      </c>
      <c r="C1106" t="s">
        <v>665</v>
      </c>
      <c r="D1106" t="s">
        <v>686</v>
      </c>
      <c r="E1106" t="s">
        <v>687</v>
      </c>
      <c r="F1106" t="str">
        <f>IFERROR(INDEX(Aux!E:E,MATCH(Dados!E1106,Aux!D:D,0)),INDEX(Aux!K:K,MATCH(Dados!B1106,Aux!I:I,0)))</f>
        <v>Esquerda</v>
      </c>
      <c r="G1106" s="2">
        <v>0</v>
      </c>
      <c r="H1106" s="2">
        <v>114348</v>
      </c>
    </row>
    <row r="1107" spans="1:8" x14ac:dyDescent="0.3">
      <c r="A1107" t="s">
        <v>916</v>
      </c>
      <c r="B1107" t="s">
        <v>488</v>
      </c>
      <c r="C1107" t="s">
        <v>489</v>
      </c>
      <c r="D1107" t="s">
        <v>536</v>
      </c>
      <c r="E1107" t="s">
        <v>537</v>
      </c>
      <c r="F1107" t="str">
        <f>IFERROR(INDEX(Aux!E:E,MATCH(Dados!E1107,Aux!D:D,0)),INDEX(Aux!K:K,MATCH(Dados!B1107,Aux!I:I,0)))</f>
        <v>Centro direita</v>
      </c>
      <c r="G1107" s="2">
        <v>0</v>
      </c>
      <c r="H1107" s="2">
        <v>227559</v>
      </c>
    </row>
    <row r="1108" spans="1:8" x14ac:dyDescent="0.3">
      <c r="A1108" t="s">
        <v>916</v>
      </c>
      <c r="B1108" t="s">
        <v>641</v>
      </c>
      <c r="C1108" t="s">
        <v>642</v>
      </c>
      <c r="D1108" t="s">
        <v>100</v>
      </c>
      <c r="E1108" t="s">
        <v>641</v>
      </c>
      <c r="F1108" t="str">
        <f>IFERROR(INDEX(Aux!E:E,MATCH(Dados!E1108,Aux!D:D,0)),INDEX(Aux!K:K,MATCH(Dados!B1108,Aux!I:I,0)))</f>
        <v>Centro direita</v>
      </c>
      <c r="G1108" s="2">
        <v>0</v>
      </c>
      <c r="H1108" s="2">
        <v>382750</v>
      </c>
    </row>
    <row r="1109" spans="1:8" x14ac:dyDescent="0.3">
      <c r="A1109" t="s">
        <v>916</v>
      </c>
      <c r="B1109" t="s">
        <v>599</v>
      </c>
      <c r="C1109" t="s">
        <v>600</v>
      </c>
      <c r="D1109" t="s">
        <v>639</v>
      </c>
      <c r="E1109" t="s">
        <v>640</v>
      </c>
      <c r="F1109" t="str">
        <f>IFERROR(INDEX(Aux!E:E,MATCH(Dados!E1109,Aux!D:D,0)),INDEX(Aux!K:K,MATCH(Dados!B1109,Aux!I:I,0)))</f>
        <v>Indefinido</v>
      </c>
      <c r="G1109" s="2">
        <v>0</v>
      </c>
      <c r="H1109" s="2">
        <v>398486</v>
      </c>
    </row>
    <row r="1110" spans="1:8" x14ac:dyDescent="0.3">
      <c r="A1110" t="s">
        <v>916</v>
      </c>
      <c r="B1110" t="s">
        <v>831</v>
      </c>
      <c r="C1110" t="s">
        <v>832</v>
      </c>
      <c r="D1110" t="s">
        <v>639</v>
      </c>
      <c r="E1110" t="s">
        <v>640</v>
      </c>
      <c r="F1110" t="str">
        <f>IFERROR(INDEX(Aux!E:E,MATCH(Dados!E1110,Aux!D:D,0)),INDEX(Aux!K:K,MATCH(Dados!B1110,Aux!I:I,0)))</f>
        <v>Indefinido</v>
      </c>
      <c r="G1110" s="2">
        <v>0</v>
      </c>
      <c r="H1110" s="2">
        <v>595286</v>
      </c>
    </row>
    <row r="1111" spans="1:8" x14ac:dyDescent="0.3">
      <c r="A1111" t="s">
        <v>916</v>
      </c>
      <c r="B1111" t="s">
        <v>799</v>
      </c>
      <c r="C1111" t="s">
        <v>800</v>
      </c>
      <c r="D1111" t="s">
        <v>536</v>
      </c>
      <c r="E1111" t="s">
        <v>537</v>
      </c>
      <c r="F1111" t="str">
        <f>IFERROR(INDEX(Aux!E:E,MATCH(Dados!E1111,Aux!D:D,0)),INDEX(Aux!K:K,MATCH(Dados!B1111,Aux!I:I,0)))</f>
        <v>Centro direita</v>
      </c>
      <c r="G1111" s="2">
        <v>0</v>
      </c>
      <c r="H1111" s="2">
        <v>985799</v>
      </c>
    </row>
    <row r="1112" spans="1:8" x14ac:dyDescent="0.3">
      <c r="A1112" t="s">
        <v>916</v>
      </c>
      <c r="B1112" t="s">
        <v>440</v>
      </c>
      <c r="C1112" t="s">
        <v>441</v>
      </c>
      <c r="D1112" t="s">
        <v>457</v>
      </c>
      <c r="E1112" t="s">
        <v>458</v>
      </c>
      <c r="F1112" t="str">
        <f>IFERROR(INDEX(Aux!E:E,MATCH(Dados!E1112,Aux!D:D,0)),INDEX(Aux!K:K,MATCH(Dados!B1112,Aux!I:I,0)))</f>
        <v>Centro esquerda</v>
      </c>
      <c r="G1112" s="2">
        <v>0</v>
      </c>
      <c r="H1112" s="2">
        <v>383350</v>
      </c>
    </row>
    <row r="1113" spans="1:8" x14ac:dyDescent="0.3">
      <c r="A1113" t="s">
        <v>916</v>
      </c>
      <c r="B1113" t="s">
        <v>334</v>
      </c>
      <c r="C1113" t="s">
        <v>335</v>
      </c>
      <c r="D1113" t="s">
        <v>274</v>
      </c>
      <c r="E1113" t="s">
        <v>275</v>
      </c>
      <c r="F1113" t="str">
        <f>IFERROR(INDEX(Aux!E:E,MATCH(Dados!E1113,Aux!D:D,0)),INDEX(Aux!K:K,MATCH(Dados!B1113,Aux!I:I,0)))</f>
        <v>Centro</v>
      </c>
      <c r="G1113" s="2">
        <v>0</v>
      </c>
      <c r="H1113" s="2">
        <v>324998</v>
      </c>
    </row>
    <row r="1114" spans="1:8" x14ac:dyDescent="0.3">
      <c r="A1114" t="s">
        <v>916</v>
      </c>
      <c r="B1114" t="s">
        <v>4</v>
      </c>
      <c r="C1114" t="s">
        <v>5</v>
      </c>
      <c r="D1114" t="s">
        <v>100</v>
      </c>
      <c r="E1114" t="s">
        <v>4</v>
      </c>
      <c r="F1114" t="str">
        <f>IFERROR(INDEX(Aux!E:E,MATCH(Dados!E1114,Aux!D:D,0)),INDEX(Aux!K:K,MATCH(Dados!B1114,Aux!I:I,0)))</f>
        <v>Esquerda</v>
      </c>
      <c r="G1114" s="2">
        <v>0</v>
      </c>
      <c r="H1114" s="2">
        <v>244899</v>
      </c>
    </row>
    <row r="1115" spans="1:8" x14ac:dyDescent="0.3">
      <c r="A1115" t="s">
        <v>919</v>
      </c>
      <c r="B1115" t="s">
        <v>902</v>
      </c>
      <c r="C1115" t="s">
        <v>902</v>
      </c>
      <c r="D1115" t="s">
        <v>731</v>
      </c>
      <c r="E1115" t="s">
        <v>732</v>
      </c>
      <c r="F1115" t="str">
        <f>IFERROR(INDEX(Aux!E:E,MATCH(Dados!E1115,Aux!D:D,0)),INDEX(Aux!K:K,MATCH(Dados!B1115,Aux!I:I,0)))</f>
        <v>Centro</v>
      </c>
      <c r="G1115" s="2">
        <v>0</v>
      </c>
      <c r="H1115" s="2">
        <v>13013</v>
      </c>
    </row>
    <row r="1116" spans="1:8" x14ac:dyDescent="0.3">
      <c r="A1116" t="s">
        <v>919</v>
      </c>
      <c r="B1116" t="s">
        <v>893</v>
      </c>
      <c r="C1116" t="s">
        <v>894</v>
      </c>
      <c r="D1116" t="s">
        <v>461</v>
      </c>
      <c r="E1116" t="s">
        <v>462</v>
      </c>
      <c r="F1116" t="str">
        <f>IFERROR(INDEX(Aux!E:E,MATCH(Dados!E1116,Aux!D:D,0)),INDEX(Aux!K:K,MATCH(Dados!B1116,Aux!I:I,0)))</f>
        <v>Indefinido</v>
      </c>
      <c r="G1116" s="2">
        <v>0</v>
      </c>
      <c r="H1116" s="2">
        <v>130686</v>
      </c>
    </row>
    <row r="1117" spans="1:8" x14ac:dyDescent="0.3">
      <c r="A1117" t="s">
        <v>919</v>
      </c>
      <c r="B1117" t="s">
        <v>875</v>
      </c>
      <c r="C1117" t="s">
        <v>876</v>
      </c>
      <c r="D1117" t="s">
        <v>100</v>
      </c>
      <c r="E1117" t="s">
        <v>875</v>
      </c>
      <c r="F1117" t="str">
        <f>IFERROR(INDEX(Aux!E:E,MATCH(Dados!E1117,Aux!D:D,0)),INDEX(Aux!K:K,MATCH(Dados!B1117,Aux!I:I,0)))</f>
        <v>Centro</v>
      </c>
      <c r="G1117" s="2">
        <v>0</v>
      </c>
      <c r="H1117" s="2">
        <v>237283</v>
      </c>
    </row>
    <row r="1118" spans="1:8" x14ac:dyDescent="0.3">
      <c r="A1118" t="s">
        <v>919</v>
      </c>
      <c r="B1118" t="s">
        <v>282</v>
      </c>
      <c r="C1118" t="s">
        <v>283</v>
      </c>
      <c r="D1118" t="s">
        <v>326</v>
      </c>
      <c r="E1118" t="s">
        <v>323</v>
      </c>
      <c r="F1118" t="str">
        <f>IFERROR(INDEX(Aux!E:E,MATCH(Dados!E1118,Aux!D:D,0)),INDEX(Aux!K:K,MATCH(Dados!B1118,Aux!I:I,0)))</f>
        <v>Direita</v>
      </c>
      <c r="G1118" s="2">
        <v>0</v>
      </c>
      <c r="H1118" s="2">
        <v>10209</v>
      </c>
    </row>
    <row r="1119" spans="1:8" x14ac:dyDescent="0.3">
      <c r="A1119" t="s">
        <v>919</v>
      </c>
      <c r="B1119" t="s">
        <v>871</v>
      </c>
      <c r="C1119" t="s">
        <v>872</v>
      </c>
      <c r="D1119" t="s">
        <v>46</v>
      </c>
      <c r="E1119" t="s">
        <v>47</v>
      </c>
      <c r="F1119" t="str">
        <f>IFERROR(INDEX(Aux!E:E,MATCH(Dados!E1119,Aux!D:D,0)),INDEX(Aux!K:K,MATCH(Dados!B1119,Aux!I:I,0)))</f>
        <v>Esquerda</v>
      </c>
      <c r="G1119" s="2">
        <v>0</v>
      </c>
      <c r="H1119" s="2">
        <v>22349</v>
      </c>
    </row>
    <row r="1120" spans="1:8" x14ac:dyDescent="0.3">
      <c r="A1120" t="s">
        <v>919</v>
      </c>
      <c r="B1120" t="s">
        <v>817</v>
      </c>
      <c r="C1120" t="s">
        <v>818</v>
      </c>
      <c r="D1120" t="s">
        <v>46</v>
      </c>
      <c r="E1120" t="s">
        <v>47</v>
      </c>
      <c r="F1120" t="str">
        <f>IFERROR(INDEX(Aux!E:E,MATCH(Dados!E1120,Aux!D:D,0)),INDEX(Aux!K:K,MATCH(Dados!B1120,Aux!I:I,0)))</f>
        <v>Esquerda</v>
      </c>
      <c r="G1120" s="2">
        <v>0</v>
      </c>
      <c r="H1120" s="2">
        <v>145437</v>
      </c>
    </row>
    <row r="1121" spans="1:8" x14ac:dyDescent="0.3">
      <c r="A1121" t="s">
        <v>919</v>
      </c>
      <c r="B1121" t="s">
        <v>787</v>
      </c>
      <c r="C1121" t="s">
        <v>788</v>
      </c>
      <c r="D1121" t="s">
        <v>731</v>
      </c>
      <c r="E1121" t="s">
        <v>732</v>
      </c>
      <c r="F1121" t="str">
        <f>IFERROR(INDEX(Aux!E:E,MATCH(Dados!E1121,Aux!D:D,0)),INDEX(Aux!K:K,MATCH(Dados!B1121,Aux!I:I,0)))</f>
        <v>Centro</v>
      </c>
      <c r="G1121" s="2">
        <v>0</v>
      </c>
      <c r="H1121" s="2">
        <v>15365</v>
      </c>
    </row>
    <row r="1122" spans="1:8" x14ac:dyDescent="0.3">
      <c r="A1122" t="s">
        <v>919</v>
      </c>
      <c r="B1122" t="s">
        <v>864</v>
      </c>
      <c r="C1122" t="s">
        <v>865</v>
      </c>
      <c r="D1122" t="s">
        <v>699</v>
      </c>
      <c r="E1122" t="s">
        <v>700</v>
      </c>
      <c r="F1122" t="str">
        <f>IFERROR(INDEX(Aux!E:E,MATCH(Dados!E1122,Aux!D:D,0)),INDEX(Aux!K:K,MATCH(Dados!B1122,Aux!I:I,0)))</f>
        <v>Centro</v>
      </c>
      <c r="G1122" s="2">
        <v>0</v>
      </c>
      <c r="H1122" s="2">
        <v>49525</v>
      </c>
    </row>
    <row r="1123" spans="1:8" x14ac:dyDescent="0.3">
      <c r="A1123" t="s">
        <v>919</v>
      </c>
      <c r="B1123" t="s">
        <v>866</v>
      </c>
      <c r="C1123" t="s">
        <v>867</v>
      </c>
      <c r="D1123" t="s">
        <v>699</v>
      </c>
      <c r="E1123" t="s">
        <v>700</v>
      </c>
      <c r="F1123" t="str">
        <f>IFERROR(INDEX(Aux!E:E,MATCH(Dados!E1123,Aux!D:D,0)),INDEX(Aux!K:K,MATCH(Dados!B1123,Aux!I:I,0)))</f>
        <v>Centro</v>
      </c>
      <c r="G1123" s="2">
        <v>0</v>
      </c>
      <c r="H1123" s="2">
        <v>73151</v>
      </c>
    </row>
    <row r="1124" spans="1:8" x14ac:dyDescent="0.3">
      <c r="A1124" t="s">
        <v>919</v>
      </c>
      <c r="B1124" t="s">
        <v>206</v>
      </c>
      <c r="C1124" t="s">
        <v>207</v>
      </c>
      <c r="D1124" t="s">
        <v>100</v>
      </c>
      <c r="E1124" t="s">
        <v>206</v>
      </c>
      <c r="F1124" t="str">
        <f>IFERROR(INDEX(Aux!E:E,MATCH(Dados!E1124,Aux!D:D,0)),INDEX(Aux!K:K,MATCH(Dados!B1124,Aux!I:I,0)))</f>
        <v>Centro direita</v>
      </c>
      <c r="G1124" s="2">
        <v>0</v>
      </c>
      <c r="H1124" s="2">
        <v>133309</v>
      </c>
    </row>
    <row r="1125" spans="1:8" x14ac:dyDescent="0.3">
      <c r="A1125" t="s">
        <v>919</v>
      </c>
      <c r="B1125" t="s">
        <v>756</v>
      </c>
      <c r="C1125" t="s">
        <v>757</v>
      </c>
      <c r="D1125" t="s">
        <v>461</v>
      </c>
      <c r="E1125" t="s">
        <v>462</v>
      </c>
      <c r="F1125" t="str">
        <f>IFERROR(INDEX(Aux!E:E,MATCH(Dados!E1125,Aux!D:D,0)),INDEX(Aux!K:K,MATCH(Dados!B1125,Aux!I:I,0)))</f>
        <v>Indefinido</v>
      </c>
      <c r="G1125" s="2">
        <v>0</v>
      </c>
      <c r="H1125" s="2">
        <v>304770</v>
      </c>
    </row>
    <row r="1126" spans="1:8" x14ac:dyDescent="0.3">
      <c r="A1126" t="s">
        <v>919</v>
      </c>
      <c r="B1126" t="s">
        <v>770</v>
      </c>
      <c r="C1126" t="s">
        <v>771</v>
      </c>
      <c r="D1126" t="s">
        <v>100</v>
      </c>
      <c r="E1126" t="s">
        <v>770</v>
      </c>
      <c r="F1126" t="str">
        <f>IFERROR(INDEX(Aux!E:E,MATCH(Dados!E1126,Aux!D:D,0)),INDEX(Aux!K:K,MATCH(Dados!B1126,Aux!I:I,0)))</f>
        <v>Esquerda</v>
      </c>
      <c r="G1126" s="2">
        <v>0</v>
      </c>
      <c r="H1126" s="2">
        <v>311541</v>
      </c>
    </row>
    <row r="1127" spans="1:8" x14ac:dyDescent="0.3">
      <c r="A1127" t="s">
        <v>919</v>
      </c>
      <c r="B1127" t="s">
        <v>857</v>
      </c>
      <c r="C1127" t="s">
        <v>858</v>
      </c>
      <c r="D1127" t="s">
        <v>731</v>
      </c>
      <c r="E1127" t="s">
        <v>732</v>
      </c>
      <c r="F1127" t="str">
        <f>IFERROR(INDEX(Aux!E:E,MATCH(Dados!E1127,Aux!D:D,0)),INDEX(Aux!K:K,MATCH(Dados!B1127,Aux!I:I,0)))</f>
        <v>Centro</v>
      </c>
      <c r="G1127" s="2">
        <v>0</v>
      </c>
      <c r="H1127" s="2">
        <v>185721</v>
      </c>
    </row>
    <row r="1128" spans="1:8" x14ac:dyDescent="0.3">
      <c r="A1128" t="s">
        <v>919</v>
      </c>
      <c r="B1128" t="s">
        <v>716</v>
      </c>
      <c r="C1128" t="s">
        <v>717</v>
      </c>
      <c r="D1128" t="s">
        <v>731</v>
      </c>
      <c r="E1128" t="s">
        <v>732</v>
      </c>
      <c r="F1128" t="str">
        <f>IFERROR(INDEX(Aux!E:E,MATCH(Dados!E1128,Aux!D:D,0)),INDEX(Aux!K:K,MATCH(Dados!B1128,Aux!I:I,0)))</f>
        <v>Centro</v>
      </c>
      <c r="G1128" s="2">
        <v>0</v>
      </c>
      <c r="H1128" s="2">
        <v>103898</v>
      </c>
    </row>
    <row r="1129" spans="1:8" x14ac:dyDescent="0.3">
      <c r="A1129" t="s">
        <v>919</v>
      </c>
      <c r="B1129" t="s">
        <v>690</v>
      </c>
      <c r="C1129" t="s">
        <v>691</v>
      </c>
      <c r="D1129" t="s">
        <v>699</v>
      </c>
      <c r="E1129" t="s">
        <v>700</v>
      </c>
      <c r="F1129" t="str">
        <f>IFERROR(INDEX(Aux!E:E,MATCH(Dados!E1129,Aux!D:D,0)),INDEX(Aux!K:K,MATCH(Dados!B1129,Aux!I:I,0)))</f>
        <v>Centro</v>
      </c>
      <c r="G1129" s="2">
        <v>0</v>
      </c>
      <c r="H1129" s="2">
        <v>158016</v>
      </c>
    </row>
    <row r="1130" spans="1:8" x14ac:dyDescent="0.3">
      <c r="A1130" t="s">
        <v>919</v>
      </c>
      <c r="B1130" t="s">
        <v>488</v>
      </c>
      <c r="C1130" t="s">
        <v>489</v>
      </c>
      <c r="D1130" t="s">
        <v>461</v>
      </c>
      <c r="E1130" t="s">
        <v>462</v>
      </c>
      <c r="F1130" t="str">
        <f>IFERROR(INDEX(Aux!E:E,MATCH(Dados!E1130,Aux!D:D,0)),INDEX(Aux!K:K,MATCH(Dados!B1130,Aux!I:I,0)))</f>
        <v>Indefinido</v>
      </c>
      <c r="G1130" s="2">
        <v>0</v>
      </c>
      <c r="H1130" s="2">
        <v>445721</v>
      </c>
    </row>
    <row r="1131" spans="1:8" x14ac:dyDescent="0.3">
      <c r="A1131" t="s">
        <v>919</v>
      </c>
      <c r="B1131" t="s">
        <v>641</v>
      </c>
      <c r="C1131" t="s">
        <v>642</v>
      </c>
      <c r="D1131" t="s">
        <v>637</v>
      </c>
      <c r="E1131" t="s">
        <v>638</v>
      </c>
      <c r="F1131" t="str">
        <f>IFERROR(INDEX(Aux!E:E,MATCH(Dados!E1131,Aux!D:D,0)),INDEX(Aux!K:K,MATCH(Dados!B1131,Aux!I:I,0)))</f>
        <v>Centro direita</v>
      </c>
      <c r="G1131" s="2">
        <v>0</v>
      </c>
      <c r="H1131" s="2">
        <v>373383</v>
      </c>
    </row>
    <row r="1132" spans="1:8" x14ac:dyDescent="0.3">
      <c r="A1132" t="s">
        <v>919</v>
      </c>
      <c r="B1132" t="s">
        <v>599</v>
      </c>
      <c r="C1132" t="s">
        <v>600</v>
      </c>
      <c r="D1132" t="s">
        <v>637</v>
      </c>
      <c r="E1132" t="s">
        <v>638</v>
      </c>
      <c r="F1132" t="str">
        <f>IFERROR(INDEX(Aux!E:E,MATCH(Dados!E1132,Aux!D:D,0)),INDEX(Aux!K:K,MATCH(Dados!B1132,Aux!I:I,0)))</f>
        <v>Centro direita</v>
      </c>
      <c r="G1132" s="2">
        <v>0</v>
      </c>
      <c r="H1132" s="2">
        <v>535032</v>
      </c>
    </row>
    <row r="1133" spans="1:8" x14ac:dyDescent="0.3">
      <c r="A1133" t="s">
        <v>919</v>
      </c>
      <c r="B1133" t="s">
        <v>831</v>
      </c>
      <c r="C1133" t="s">
        <v>832</v>
      </c>
      <c r="D1133" t="s">
        <v>461</v>
      </c>
      <c r="E1133" t="s">
        <v>462</v>
      </c>
      <c r="F1133" t="str">
        <f>IFERROR(INDEX(Aux!E:E,MATCH(Dados!E1133,Aux!D:D,0)),INDEX(Aux!K:K,MATCH(Dados!B1133,Aux!I:I,0)))</f>
        <v>Indefinido</v>
      </c>
      <c r="G1133" s="2">
        <v>0</v>
      </c>
      <c r="H1133" s="2">
        <v>304240</v>
      </c>
    </row>
    <row r="1134" spans="1:8" x14ac:dyDescent="0.3">
      <c r="A1134" t="s">
        <v>919</v>
      </c>
      <c r="B1134" t="s">
        <v>558</v>
      </c>
      <c r="C1134" t="s">
        <v>559</v>
      </c>
      <c r="D1134" t="s">
        <v>326</v>
      </c>
      <c r="E1134" t="s">
        <v>323</v>
      </c>
      <c r="F1134" t="str">
        <f>IFERROR(INDEX(Aux!E:E,MATCH(Dados!E1134,Aux!D:D,0)),INDEX(Aux!K:K,MATCH(Dados!B1134,Aux!I:I,0)))</f>
        <v>Direita</v>
      </c>
      <c r="G1134" s="2">
        <v>0</v>
      </c>
      <c r="H1134" s="2">
        <v>734167</v>
      </c>
    </row>
    <row r="1135" spans="1:8" x14ac:dyDescent="0.3">
      <c r="A1135" t="s">
        <v>919</v>
      </c>
      <c r="B1135" t="s">
        <v>440</v>
      </c>
      <c r="C1135" t="s">
        <v>441</v>
      </c>
      <c r="D1135" t="s">
        <v>461</v>
      </c>
      <c r="E1135" t="s">
        <v>462</v>
      </c>
      <c r="F1135" t="str">
        <f>IFERROR(INDEX(Aux!E:E,MATCH(Dados!E1135,Aux!D:D,0)),INDEX(Aux!K:K,MATCH(Dados!B1135,Aux!I:I,0)))</f>
        <v>Indefinido</v>
      </c>
      <c r="G1135" s="2">
        <v>0</v>
      </c>
      <c r="H1135" s="2">
        <v>94031</v>
      </c>
    </row>
    <row r="1136" spans="1:8" x14ac:dyDescent="0.3">
      <c r="A1136" t="s">
        <v>919</v>
      </c>
      <c r="B1136" t="s">
        <v>388</v>
      </c>
      <c r="C1136" t="s">
        <v>389</v>
      </c>
      <c r="D1136" t="s">
        <v>326</v>
      </c>
      <c r="E1136" t="s">
        <v>323</v>
      </c>
      <c r="F1136" t="str">
        <f>IFERROR(INDEX(Aux!E:E,MATCH(Dados!E1136,Aux!D:D,0)),INDEX(Aux!K:K,MATCH(Dados!B1136,Aux!I:I,0)))</f>
        <v>Direita</v>
      </c>
      <c r="G1136" s="2">
        <v>0</v>
      </c>
      <c r="H1136" s="2">
        <v>6589</v>
      </c>
    </row>
    <row r="1137" spans="1:8" x14ac:dyDescent="0.3">
      <c r="A1137" t="s">
        <v>919</v>
      </c>
      <c r="B1137" t="s">
        <v>4</v>
      </c>
      <c r="C1137" t="s">
        <v>5</v>
      </c>
      <c r="D1137" t="s">
        <v>46</v>
      </c>
      <c r="E1137" t="s">
        <v>47</v>
      </c>
      <c r="F1137" t="str">
        <f>IFERROR(INDEX(Aux!E:E,MATCH(Dados!E1137,Aux!D:D,0)),INDEX(Aux!K:K,MATCH(Dados!B1137,Aux!I:I,0)))</f>
        <v>Esquerda</v>
      </c>
      <c r="G1137" s="2">
        <v>0</v>
      </c>
      <c r="H1137" s="2">
        <v>8439</v>
      </c>
    </row>
    <row r="1138" spans="1:8" x14ac:dyDescent="0.3">
      <c r="A1138" t="s">
        <v>930</v>
      </c>
      <c r="B1138" t="s">
        <v>902</v>
      </c>
      <c r="C1138" t="s">
        <v>902</v>
      </c>
      <c r="D1138" t="s">
        <v>695</v>
      </c>
      <c r="E1138" t="s">
        <v>696</v>
      </c>
      <c r="F1138" t="str">
        <f>IFERROR(INDEX(Aux!E:E,MATCH(Dados!E1138,Aux!D:D,0)),INDEX(Aux!K:K,MATCH(Dados!B1138,Aux!I:I,0)))</f>
        <v>Centro</v>
      </c>
      <c r="G1138" s="2">
        <v>0</v>
      </c>
      <c r="H1138" s="2">
        <v>152104</v>
      </c>
    </row>
    <row r="1139" spans="1:8" x14ac:dyDescent="0.3">
      <c r="A1139" t="s">
        <v>930</v>
      </c>
      <c r="B1139" t="s">
        <v>899</v>
      </c>
      <c r="C1139" t="s">
        <v>900</v>
      </c>
      <c r="D1139" t="s">
        <v>18</v>
      </c>
      <c r="E1139" t="s">
        <v>19</v>
      </c>
      <c r="F1139" t="str">
        <f>IFERROR(INDEX(Aux!E:E,MATCH(Dados!E1139,Aux!D:D,0)),INDEX(Aux!K:K,MATCH(Dados!B1139,Aux!I:I,0)))</f>
        <v>Direita</v>
      </c>
      <c r="G1139" s="2">
        <v>0</v>
      </c>
      <c r="H1139" s="2">
        <v>2332</v>
      </c>
    </row>
    <row r="1140" spans="1:8" x14ac:dyDescent="0.3">
      <c r="A1140" t="s">
        <v>930</v>
      </c>
      <c r="B1140" t="s">
        <v>893</v>
      </c>
      <c r="C1140" t="s">
        <v>894</v>
      </c>
      <c r="D1140" t="s">
        <v>149</v>
      </c>
      <c r="E1140" t="s">
        <v>150</v>
      </c>
      <c r="F1140" t="str">
        <f>IFERROR(INDEX(Aux!E:E,MATCH(Dados!E1140,Aux!D:D,0)),INDEX(Aux!K:K,MATCH(Dados!B1140,Aux!I:I,0)))</f>
        <v>Indefinido</v>
      </c>
      <c r="G1140" s="2">
        <v>0</v>
      </c>
      <c r="H1140" s="2">
        <v>30361</v>
      </c>
    </row>
    <row r="1141" spans="1:8" x14ac:dyDescent="0.3">
      <c r="A1141" t="s">
        <v>930</v>
      </c>
      <c r="B1141" t="s">
        <v>875</v>
      </c>
      <c r="C1141" t="s">
        <v>876</v>
      </c>
      <c r="D1141" t="s">
        <v>861</v>
      </c>
      <c r="E1141" t="s">
        <v>862</v>
      </c>
      <c r="F1141" t="str">
        <f>IFERROR(INDEX(Aux!E:E,MATCH(Dados!E1141,Aux!D:D,0)),INDEX(Aux!K:K,MATCH(Dados!B1141,Aux!I:I,0)))</f>
        <v>Centro</v>
      </c>
      <c r="G1141" s="2">
        <v>0</v>
      </c>
      <c r="H1141" s="2">
        <v>79420</v>
      </c>
    </row>
    <row r="1142" spans="1:8" x14ac:dyDescent="0.3">
      <c r="A1142" t="s">
        <v>930</v>
      </c>
      <c r="B1142" t="s">
        <v>282</v>
      </c>
      <c r="C1142" t="s">
        <v>283</v>
      </c>
      <c r="D1142" t="s">
        <v>100</v>
      </c>
      <c r="E1142" t="s">
        <v>282</v>
      </c>
      <c r="F1142" t="str">
        <f>IFERROR(INDEX(Aux!E:E,MATCH(Dados!E1142,Aux!D:D,0)),INDEX(Aux!K:K,MATCH(Dados!B1142,Aux!I:I,0)))</f>
        <v>Direita</v>
      </c>
      <c r="G1142" s="2">
        <v>0</v>
      </c>
      <c r="H1142" s="2">
        <v>116486</v>
      </c>
    </row>
    <row r="1143" spans="1:8" x14ac:dyDescent="0.3">
      <c r="A1143" t="s">
        <v>930</v>
      </c>
      <c r="B1143" t="s">
        <v>871</v>
      </c>
      <c r="C1143" t="s">
        <v>872</v>
      </c>
      <c r="D1143" t="s">
        <v>235</v>
      </c>
      <c r="E1143" t="s">
        <v>236</v>
      </c>
      <c r="F1143" t="str">
        <f>IFERROR(INDEX(Aux!E:E,MATCH(Dados!E1143,Aux!D:D,0)),INDEX(Aux!K:K,MATCH(Dados!B1143,Aux!I:I,0)))</f>
        <v>Esquerda</v>
      </c>
      <c r="G1143" s="2">
        <v>0</v>
      </c>
      <c r="H1143" s="2">
        <v>36460</v>
      </c>
    </row>
    <row r="1144" spans="1:8" x14ac:dyDescent="0.3">
      <c r="A1144" t="s">
        <v>930</v>
      </c>
      <c r="B1144" t="s">
        <v>817</v>
      </c>
      <c r="C1144" t="s">
        <v>818</v>
      </c>
      <c r="D1144" t="s">
        <v>235</v>
      </c>
      <c r="E1144" t="s">
        <v>236</v>
      </c>
      <c r="F1144" t="str">
        <f>IFERROR(INDEX(Aux!E:E,MATCH(Dados!E1144,Aux!D:D,0)),INDEX(Aux!K:K,MATCH(Dados!B1144,Aux!I:I,0)))</f>
        <v>Esquerda</v>
      </c>
      <c r="G1144" s="2">
        <v>0</v>
      </c>
      <c r="H1144" s="2">
        <v>5435</v>
      </c>
    </row>
    <row r="1145" spans="1:8" x14ac:dyDescent="0.3">
      <c r="A1145" t="s">
        <v>930</v>
      </c>
      <c r="B1145" t="s">
        <v>866</v>
      </c>
      <c r="C1145" t="s">
        <v>867</v>
      </c>
      <c r="D1145" t="s">
        <v>149</v>
      </c>
      <c r="E1145" t="s">
        <v>150</v>
      </c>
      <c r="F1145" t="str">
        <f>IFERROR(INDEX(Aux!E:E,MATCH(Dados!E1145,Aux!D:D,0)),INDEX(Aux!K:K,MATCH(Dados!B1145,Aux!I:I,0)))</f>
        <v>Indefinido</v>
      </c>
      <c r="G1145" s="2">
        <v>0</v>
      </c>
      <c r="H1145" s="2">
        <v>4370</v>
      </c>
    </row>
    <row r="1146" spans="1:8" x14ac:dyDescent="0.3">
      <c r="A1146" t="s">
        <v>930</v>
      </c>
      <c r="B1146" t="s">
        <v>206</v>
      </c>
      <c r="C1146" t="s">
        <v>207</v>
      </c>
      <c r="D1146" t="s">
        <v>235</v>
      </c>
      <c r="E1146" t="s">
        <v>236</v>
      </c>
      <c r="F1146" t="str">
        <f>IFERROR(INDEX(Aux!E:E,MATCH(Dados!E1146,Aux!D:D,0)),INDEX(Aux!K:K,MATCH(Dados!B1146,Aux!I:I,0)))</f>
        <v>Esquerda</v>
      </c>
      <c r="G1146" s="2">
        <v>0</v>
      </c>
      <c r="H1146" s="2">
        <v>173324</v>
      </c>
    </row>
    <row r="1147" spans="1:8" x14ac:dyDescent="0.3">
      <c r="A1147" t="s">
        <v>930</v>
      </c>
      <c r="B1147" t="s">
        <v>756</v>
      </c>
      <c r="C1147" t="s">
        <v>757</v>
      </c>
      <c r="D1147" t="s">
        <v>349</v>
      </c>
      <c r="E1147" t="s">
        <v>350</v>
      </c>
      <c r="F1147" t="str">
        <f>IFERROR(INDEX(Aux!E:E,MATCH(Dados!E1147,Aux!D:D,0)),INDEX(Aux!K:K,MATCH(Dados!B1147,Aux!I:I,0)))</f>
        <v>Centro direita</v>
      </c>
      <c r="G1147" s="2">
        <v>0</v>
      </c>
      <c r="H1147" s="2">
        <v>92955</v>
      </c>
    </row>
    <row r="1148" spans="1:8" x14ac:dyDescent="0.3">
      <c r="A1148" t="s">
        <v>930</v>
      </c>
      <c r="B1148" t="s">
        <v>770</v>
      </c>
      <c r="C1148" t="s">
        <v>771</v>
      </c>
      <c r="D1148" t="s">
        <v>149</v>
      </c>
      <c r="E1148" t="s">
        <v>150</v>
      </c>
      <c r="F1148" t="str">
        <f>IFERROR(INDEX(Aux!E:E,MATCH(Dados!E1148,Aux!D:D,0)),INDEX(Aux!K:K,MATCH(Dados!B1148,Aux!I:I,0)))</f>
        <v>Indefinido</v>
      </c>
      <c r="G1148" s="2">
        <v>0</v>
      </c>
      <c r="H1148" s="2">
        <v>125985</v>
      </c>
    </row>
    <row r="1149" spans="1:8" x14ac:dyDescent="0.3">
      <c r="A1149" t="s">
        <v>930</v>
      </c>
      <c r="B1149" t="s">
        <v>857</v>
      </c>
      <c r="C1149" t="s">
        <v>858</v>
      </c>
      <c r="D1149" t="s">
        <v>861</v>
      </c>
      <c r="E1149" t="s">
        <v>862</v>
      </c>
      <c r="F1149" t="str">
        <f>IFERROR(INDEX(Aux!E:E,MATCH(Dados!E1149,Aux!D:D,0)),INDEX(Aux!K:K,MATCH(Dados!B1149,Aux!I:I,0)))</f>
        <v>Centro</v>
      </c>
      <c r="G1149" s="2">
        <v>0</v>
      </c>
      <c r="H1149" s="2">
        <v>36337</v>
      </c>
    </row>
    <row r="1150" spans="1:8" x14ac:dyDescent="0.3">
      <c r="A1150" t="s">
        <v>930</v>
      </c>
      <c r="B1150" t="s">
        <v>716</v>
      </c>
      <c r="C1150" t="s">
        <v>717</v>
      </c>
      <c r="D1150" t="s">
        <v>235</v>
      </c>
      <c r="E1150" t="s">
        <v>236</v>
      </c>
      <c r="F1150" t="str">
        <f>IFERROR(INDEX(Aux!E:E,MATCH(Dados!E1150,Aux!D:D,0)),INDEX(Aux!K:K,MATCH(Dados!B1150,Aux!I:I,0)))</f>
        <v>Esquerda</v>
      </c>
      <c r="G1150" s="2">
        <v>0</v>
      </c>
      <c r="H1150" s="2">
        <v>66638</v>
      </c>
    </row>
    <row r="1151" spans="1:8" x14ac:dyDescent="0.3">
      <c r="A1151" t="s">
        <v>930</v>
      </c>
      <c r="B1151" t="s">
        <v>690</v>
      </c>
      <c r="C1151" t="s">
        <v>691</v>
      </c>
      <c r="D1151" t="s">
        <v>695</v>
      </c>
      <c r="E1151" t="s">
        <v>696</v>
      </c>
      <c r="F1151" t="str">
        <f>IFERROR(INDEX(Aux!E:E,MATCH(Dados!E1151,Aux!D:D,0)),INDEX(Aux!K:K,MATCH(Dados!B1151,Aux!I:I,0)))</f>
        <v>Centro</v>
      </c>
      <c r="G1151" s="2">
        <v>0</v>
      </c>
      <c r="H1151" s="2">
        <v>7642</v>
      </c>
    </row>
    <row r="1152" spans="1:8" x14ac:dyDescent="0.3">
      <c r="A1152" t="s">
        <v>930</v>
      </c>
      <c r="B1152" t="s">
        <v>664</v>
      </c>
      <c r="C1152" t="s">
        <v>665</v>
      </c>
      <c r="D1152" t="s">
        <v>235</v>
      </c>
      <c r="E1152" t="s">
        <v>236</v>
      </c>
      <c r="F1152" t="str">
        <f>IFERROR(INDEX(Aux!E:E,MATCH(Dados!E1152,Aux!D:D,0)),INDEX(Aux!K:K,MATCH(Dados!B1152,Aux!I:I,0)))</f>
        <v>Esquerda</v>
      </c>
      <c r="G1152" s="2">
        <v>0</v>
      </c>
      <c r="H1152" s="2">
        <v>222</v>
      </c>
    </row>
    <row r="1153" spans="1:8" x14ac:dyDescent="0.3">
      <c r="A1153" t="s">
        <v>930</v>
      </c>
      <c r="B1153" t="s">
        <v>737</v>
      </c>
      <c r="C1153" t="s">
        <v>738</v>
      </c>
      <c r="D1153" t="s">
        <v>18</v>
      </c>
      <c r="E1153" t="s">
        <v>19</v>
      </c>
      <c r="F1153" t="str">
        <f>IFERROR(INDEX(Aux!E:E,MATCH(Dados!E1153,Aux!D:D,0)),INDEX(Aux!K:K,MATCH(Dados!B1153,Aux!I:I,0)))</f>
        <v>Direita</v>
      </c>
      <c r="G1153" s="2">
        <v>0</v>
      </c>
      <c r="H1153" s="2">
        <v>56753</v>
      </c>
    </row>
    <row r="1154" spans="1:8" x14ac:dyDescent="0.3">
      <c r="A1154" t="s">
        <v>930</v>
      </c>
      <c r="B1154" t="s">
        <v>488</v>
      </c>
      <c r="C1154" t="s">
        <v>489</v>
      </c>
      <c r="D1154" t="s">
        <v>235</v>
      </c>
      <c r="E1154" t="s">
        <v>236</v>
      </c>
      <c r="F1154" t="str">
        <f>IFERROR(INDEX(Aux!E:E,MATCH(Dados!E1154,Aux!D:D,0)),INDEX(Aux!K:K,MATCH(Dados!B1154,Aux!I:I,0)))</f>
        <v>Esquerda</v>
      </c>
      <c r="G1154" s="2">
        <v>0</v>
      </c>
      <c r="H1154" s="2">
        <v>393303</v>
      </c>
    </row>
    <row r="1155" spans="1:8" x14ac:dyDescent="0.3">
      <c r="A1155" t="s">
        <v>930</v>
      </c>
      <c r="B1155" t="s">
        <v>641</v>
      </c>
      <c r="C1155" t="s">
        <v>642</v>
      </c>
      <c r="D1155" t="s">
        <v>349</v>
      </c>
      <c r="E1155" t="s">
        <v>350</v>
      </c>
      <c r="F1155" t="str">
        <f>IFERROR(INDEX(Aux!E:E,MATCH(Dados!E1155,Aux!D:D,0)),INDEX(Aux!K:K,MATCH(Dados!B1155,Aux!I:I,0)))</f>
        <v>Centro direita</v>
      </c>
      <c r="G1155" s="2">
        <v>0</v>
      </c>
      <c r="H1155" s="2">
        <v>50679</v>
      </c>
    </row>
    <row r="1156" spans="1:8" x14ac:dyDescent="0.3">
      <c r="A1156" t="s">
        <v>930</v>
      </c>
      <c r="B1156" t="s">
        <v>599</v>
      </c>
      <c r="C1156" t="s">
        <v>600</v>
      </c>
      <c r="D1156" t="s">
        <v>349</v>
      </c>
      <c r="E1156" t="s">
        <v>350</v>
      </c>
      <c r="F1156" t="str">
        <f>IFERROR(INDEX(Aux!E:E,MATCH(Dados!E1156,Aux!D:D,0)),INDEX(Aux!K:K,MATCH(Dados!B1156,Aux!I:I,0)))</f>
        <v>Centro direita</v>
      </c>
      <c r="G1156" s="2">
        <v>0</v>
      </c>
      <c r="H1156" s="2">
        <v>49001</v>
      </c>
    </row>
    <row r="1157" spans="1:8" x14ac:dyDescent="0.3">
      <c r="A1157" t="s">
        <v>930</v>
      </c>
      <c r="B1157" t="s">
        <v>831</v>
      </c>
      <c r="C1157" t="s">
        <v>832</v>
      </c>
      <c r="D1157" t="s">
        <v>349</v>
      </c>
      <c r="E1157" t="s">
        <v>350</v>
      </c>
      <c r="F1157" t="str">
        <f>IFERROR(INDEX(Aux!E:E,MATCH(Dados!E1157,Aux!D:D,0)),INDEX(Aux!K:K,MATCH(Dados!B1157,Aux!I:I,0)))</f>
        <v>Centro direita</v>
      </c>
      <c r="G1157" s="2">
        <v>0</v>
      </c>
      <c r="H1157" s="2">
        <v>93793</v>
      </c>
    </row>
    <row r="1158" spans="1:8" x14ac:dyDescent="0.3">
      <c r="A1158" t="s">
        <v>930</v>
      </c>
      <c r="B1158" t="s">
        <v>558</v>
      </c>
      <c r="C1158" t="s">
        <v>559</v>
      </c>
      <c r="D1158" t="s">
        <v>18</v>
      </c>
      <c r="E1158" t="s">
        <v>19</v>
      </c>
      <c r="F1158" t="str">
        <f>IFERROR(INDEX(Aux!E:E,MATCH(Dados!E1158,Aux!D:D,0)),INDEX(Aux!K:K,MATCH(Dados!B1158,Aux!I:I,0)))</f>
        <v>Direita</v>
      </c>
      <c r="G1158" s="2">
        <v>0</v>
      </c>
      <c r="H1158" s="2">
        <v>76110</v>
      </c>
    </row>
    <row r="1159" spans="1:8" x14ac:dyDescent="0.3">
      <c r="A1159" t="s">
        <v>930</v>
      </c>
      <c r="B1159" t="s">
        <v>799</v>
      </c>
      <c r="C1159" t="s">
        <v>800</v>
      </c>
      <c r="D1159" t="s">
        <v>695</v>
      </c>
      <c r="E1159" t="s">
        <v>696</v>
      </c>
      <c r="F1159" t="str">
        <f>IFERROR(INDEX(Aux!E:E,MATCH(Dados!E1159,Aux!D:D,0)),INDEX(Aux!K:K,MATCH(Dados!B1159,Aux!I:I,0)))</f>
        <v>Centro</v>
      </c>
      <c r="G1159" s="2">
        <v>0</v>
      </c>
      <c r="H1159" s="2">
        <v>53147</v>
      </c>
    </row>
    <row r="1160" spans="1:8" x14ac:dyDescent="0.3">
      <c r="A1160" t="s">
        <v>930</v>
      </c>
      <c r="B1160" t="s">
        <v>440</v>
      </c>
      <c r="C1160" t="s">
        <v>441</v>
      </c>
      <c r="D1160" t="s">
        <v>235</v>
      </c>
      <c r="E1160" t="s">
        <v>236</v>
      </c>
      <c r="F1160" t="str">
        <f>IFERROR(INDEX(Aux!E:E,MATCH(Dados!E1160,Aux!D:D,0)),INDEX(Aux!K:K,MATCH(Dados!B1160,Aux!I:I,0)))</f>
        <v>Esquerda</v>
      </c>
      <c r="G1160" s="2">
        <v>0</v>
      </c>
      <c r="H1160" s="2">
        <v>71949</v>
      </c>
    </row>
    <row r="1161" spans="1:8" x14ac:dyDescent="0.3">
      <c r="A1161" t="s">
        <v>930</v>
      </c>
      <c r="B1161" t="s">
        <v>388</v>
      </c>
      <c r="C1161" t="s">
        <v>389</v>
      </c>
      <c r="D1161" t="s">
        <v>349</v>
      </c>
      <c r="E1161" t="s">
        <v>350</v>
      </c>
      <c r="F1161" t="str">
        <f>IFERROR(INDEX(Aux!E:E,MATCH(Dados!E1161,Aux!D:D,0)),INDEX(Aux!K:K,MATCH(Dados!B1161,Aux!I:I,0)))</f>
        <v>Centro direita</v>
      </c>
      <c r="G1161" s="2">
        <v>0</v>
      </c>
      <c r="H1161" s="2">
        <v>5911</v>
      </c>
    </row>
    <row r="1162" spans="1:8" x14ac:dyDescent="0.3">
      <c r="A1162" t="s">
        <v>930</v>
      </c>
      <c r="B1162" t="s">
        <v>334</v>
      </c>
      <c r="C1162" t="s">
        <v>335</v>
      </c>
      <c r="D1162" t="s">
        <v>349</v>
      </c>
      <c r="E1162" t="s">
        <v>350</v>
      </c>
      <c r="F1162" t="str">
        <f>IFERROR(INDEX(Aux!E:E,MATCH(Dados!E1162,Aux!D:D,0)),INDEX(Aux!K:K,MATCH(Dados!B1162,Aux!I:I,0)))</f>
        <v>Centro direita</v>
      </c>
      <c r="G1162" s="2">
        <v>0</v>
      </c>
      <c r="H1162" s="2">
        <v>56215</v>
      </c>
    </row>
    <row r="1163" spans="1:8" x14ac:dyDescent="0.3">
      <c r="A1163" t="s">
        <v>930</v>
      </c>
      <c r="B1163" t="s">
        <v>135</v>
      </c>
      <c r="C1163" t="s">
        <v>136</v>
      </c>
      <c r="D1163" t="s">
        <v>149</v>
      </c>
      <c r="E1163" t="s">
        <v>150</v>
      </c>
      <c r="F1163" t="str">
        <f>IFERROR(INDEX(Aux!E:E,MATCH(Dados!E1163,Aux!D:D,0)),INDEX(Aux!K:K,MATCH(Dados!B1163,Aux!I:I,0)))</f>
        <v>Indefinido</v>
      </c>
      <c r="G1163" s="2">
        <v>0</v>
      </c>
      <c r="H1163" s="2">
        <v>32253</v>
      </c>
    </row>
    <row r="1164" spans="1:8" x14ac:dyDescent="0.3">
      <c r="A1164" t="s">
        <v>930</v>
      </c>
      <c r="B1164" t="s">
        <v>4</v>
      </c>
      <c r="C1164" t="s">
        <v>5</v>
      </c>
      <c r="D1164" t="s">
        <v>18</v>
      </c>
      <c r="E1164" t="s">
        <v>19</v>
      </c>
      <c r="F1164" t="str">
        <f>IFERROR(INDEX(Aux!E:E,MATCH(Dados!E1164,Aux!D:D,0)),INDEX(Aux!K:K,MATCH(Dados!B1164,Aux!I:I,0)))</f>
        <v>Direita</v>
      </c>
      <c r="G1164" s="2">
        <v>0</v>
      </c>
      <c r="H1164" s="2">
        <v>13962</v>
      </c>
    </row>
    <row r="1165" spans="1:8" x14ac:dyDescent="0.3">
      <c r="A1165" t="s">
        <v>923</v>
      </c>
      <c r="B1165" t="s">
        <v>902</v>
      </c>
      <c r="C1165" t="s">
        <v>902</v>
      </c>
      <c r="D1165" t="s">
        <v>231</v>
      </c>
      <c r="E1165" t="s">
        <v>232</v>
      </c>
      <c r="F1165" t="str">
        <f>IFERROR(INDEX(Aux!E:E,MATCH(Dados!E1165,Aux!D:D,0)),INDEX(Aux!K:K,MATCH(Dados!B1165,Aux!I:I,0)))</f>
        <v>Centro</v>
      </c>
      <c r="G1165" s="2">
        <v>0</v>
      </c>
      <c r="H1165" s="2">
        <v>32896</v>
      </c>
    </row>
    <row r="1166" spans="1:8" x14ac:dyDescent="0.3">
      <c r="A1166" t="s">
        <v>923</v>
      </c>
      <c r="B1166" t="s">
        <v>899</v>
      </c>
      <c r="C1166" t="s">
        <v>900</v>
      </c>
      <c r="D1166" t="s">
        <v>611</v>
      </c>
      <c r="E1166" t="s">
        <v>612</v>
      </c>
      <c r="F1166" t="str">
        <f>IFERROR(INDEX(Aux!E:E,MATCH(Dados!E1166,Aux!D:D,0)),INDEX(Aux!K:K,MATCH(Dados!B1166,Aux!I:I,0)))</f>
        <v>Direita</v>
      </c>
      <c r="G1166" s="2">
        <v>0</v>
      </c>
      <c r="H1166" s="2">
        <v>37826</v>
      </c>
    </row>
    <row r="1167" spans="1:8" x14ac:dyDescent="0.3">
      <c r="A1167" t="s">
        <v>923</v>
      </c>
      <c r="B1167" t="s">
        <v>893</v>
      </c>
      <c r="C1167" t="s">
        <v>894</v>
      </c>
      <c r="D1167" t="s">
        <v>674</v>
      </c>
      <c r="E1167" t="s">
        <v>675</v>
      </c>
      <c r="F1167" t="str">
        <f>IFERROR(INDEX(Aux!E:E,MATCH(Dados!E1167,Aux!D:D,0)),INDEX(Aux!K:K,MATCH(Dados!B1167,Aux!I:I,0)))</f>
        <v>Indefinido</v>
      </c>
      <c r="G1167" s="2">
        <v>0</v>
      </c>
      <c r="H1167" s="2">
        <v>163908</v>
      </c>
    </row>
    <row r="1168" spans="1:8" x14ac:dyDescent="0.3">
      <c r="A1168" t="s">
        <v>923</v>
      </c>
      <c r="B1168" t="s">
        <v>875</v>
      </c>
      <c r="C1168" t="s">
        <v>876</v>
      </c>
      <c r="D1168" t="s">
        <v>611</v>
      </c>
      <c r="E1168" t="s">
        <v>612</v>
      </c>
      <c r="F1168" t="str">
        <f>IFERROR(INDEX(Aux!E:E,MATCH(Dados!E1168,Aux!D:D,0)),INDEX(Aux!K:K,MATCH(Dados!B1168,Aux!I:I,0)))</f>
        <v>Direita</v>
      </c>
      <c r="G1168" s="2">
        <v>0</v>
      </c>
      <c r="H1168" s="2">
        <v>508018</v>
      </c>
    </row>
    <row r="1169" spans="1:8" x14ac:dyDescent="0.3">
      <c r="A1169" t="s">
        <v>923</v>
      </c>
      <c r="B1169" t="s">
        <v>282</v>
      </c>
      <c r="C1169" t="s">
        <v>283</v>
      </c>
      <c r="D1169" t="s">
        <v>294</v>
      </c>
      <c r="E1169" t="s">
        <v>295</v>
      </c>
      <c r="F1169" t="str">
        <f>IFERROR(INDEX(Aux!E:E,MATCH(Dados!E1169,Aux!D:D,0)),INDEX(Aux!K:K,MATCH(Dados!B1169,Aux!I:I,0)))</f>
        <v>Direita</v>
      </c>
      <c r="G1169" s="2">
        <v>0</v>
      </c>
      <c r="H1169" s="2">
        <v>67401</v>
      </c>
    </row>
    <row r="1170" spans="1:8" x14ac:dyDescent="0.3">
      <c r="A1170" t="s">
        <v>923</v>
      </c>
      <c r="B1170" t="s">
        <v>871</v>
      </c>
      <c r="C1170" t="s">
        <v>872</v>
      </c>
      <c r="D1170" t="s">
        <v>100</v>
      </c>
      <c r="E1170" t="s">
        <v>871</v>
      </c>
      <c r="F1170" t="str">
        <f>IFERROR(INDEX(Aux!E:E,MATCH(Dados!E1170,Aux!D:D,0)),INDEX(Aux!K:K,MATCH(Dados!B1170,Aux!I:I,0)))</f>
        <v>Esquerda</v>
      </c>
      <c r="G1170" s="2">
        <v>0</v>
      </c>
      <c r="H1170" s="2">
        <v>52907</v>
      </c>
    </row>
    <row r="1171" spans="1:8" x14ac:dyDescent="0.3">
      <c r="A1171" t="s">
        <v>923</v>
      </c>
      <c r="B1171" t="s">
        <v>817</v>
      </c>
      <c r="C1171" t="s">
        <v>818</v>
      </c>
      <c r="D1171" t="s">
        <v>674</v>
      </c>
      <c r="E1171" t="s">
        <v>675</v>
      </c>
      <c r="F1171" t="str">
        <f>IFERROR(INDEX(Aux!E:E,MATCH(Dados!E1171,Aux!D:D,0)),INDEX(Aux!K:K,MATCH(Dados!B1171,Aux!I:I,0)))</f>
        <v>Indefinido</v>
      </c>
      <c r="G1171" s="2">
        <v>0</v>
      </c>
      <c r="H1171" s="2">
        <v>156242</v>
      </c>
    </row>
    <row r="1172" spans="1:8" x14ac:dyDescent="0.3">
      <c r="A1172" t="s">
        <v>923</v>
      </c>
      <c r="B1172" t="s">
        <v>787</v>
      </c>
      <c r="C1172" t="s">
        <v>788</v>
      </c>
      <c r="D1172" t="s">
        <v>762</v>
      </c>
      <c r="E1172" t="s">
        <v>763</v>
      </c>
      <c r="F1172" t="str">
        <f>IFERROR(INDEX(Aux!E:E,MATCH(Dados!E1172,Aux!D:D,0)),INDEX(Aux!K:K,MATCH(Dados!B1172,Aux!I:I,0)))</f>
        <v>Centro direita</v>
      </c>
      <c r="G1172" s="2">
        <v>0</v>
      </c>
      <c r="H1172" s="2">
        <v>124742</v>
      </c>
    </row>
    <row r="1173" spans="1:8" x14ac:dyDescent="0.3">
      <c r="A1173" t="s">
        <v>923</v>
      </c>
      <c r="B1173" t="s">
        <v>864</v>
      </c>
      <c r="C1173" t="s">
        <v>865</v>
      </c>
      <c r="D1173" t="s">
        <v>725</v>
      </c>
      <c r="E1173" t="s">
        <v>726</v>
      </c>
      <c r="F1173" t="str">
        <f>IFERROR(INDEX(Aux!E:E,MATCH(Dados!E1173,Aux!D:D,0)),INDEX(Aux!K:K,MATCH(Dados!B1173,Aux!I:I,0)))</f>
        <v>Centro</v>
      </c>
      <c r="G1173" s="2">
        <v>0</v>
      </c>
      <c r="H1173" s="2">
        <v>10705</v>
      </c>
    </row>
    <row r="1174" spans="1:8" x14ac:dyDescent="0.3">
      <c r="A1174" t="s">
        <v>923</v>
      </c>
      <c r="B1174" t="s">
        <v>866</v>
      </c>
      <c r="C1174" t="s">
        <v>867</v>
      </c>
      <c r="D1174" t="s">
        <v>747</v>
      </c>
      <c r="E1174" t="s">
        <v>748</v>
      </c>
      <c r="F1174" t="str">
        <f>IFERROR(INDEX(Aux!E:E,MATCH(Dados!E1174,Aux!D:D,0)),INDEX(Aux!K:K,MATCH(Dados!B1174,Aux!I:I,0)))</f>
        <v>Centro esquerda</v>
      </c>
      <c r="G1174" s="2">
        <v>0</v>
      </c>
      <c r="H1174" s="2">
        <v>47210</v>
      </c>
    </row>
    <row r="1175" spans="1:8" x14ac:dyDescent="0.3">
      <c r="A1175" t="s">
        <v>923</v>
      </c>
      <c r="B1175" t="s">
        <v>206</v>
      </c>
      <c r="C1175" t="s">
        <v>207</v>
      </c>
      <c r="D1175" t="s">
        <v>231</v>
      </c>
      <c r="E1175" t="s">
        <v>232</v>
      </c>
      <c r="F1175" t="str">
        <f>IFERROR(INDEX(Aux!E:E,MATCH(Dados!E1175,Aux!D:D,0)),INDEX(Aux!K:K,MATCH(Dados!B1175,Aux!I:I,0)))</f>
        <v>Centro</v>
      </c>
      <c r="G1175" s="2">
        <v>0</v>
      </c>
      <c r="H1175" s="2">
        <v>19479</v>
      </c>
    </row>
    <row r="1176" spans="1:8" x14ac:dyDescent="0.3">
      <c r="A1176" t="s">
        <v>923</v>
      </c>
      <c r="B1176" t="s">
        <v>756</v>
      </c>
      <c r="C1176" t="s">
        <v>757</v>
      </c>
      <c r="D1176" t="s">
        <v>762</v>
      </c>
      <c r="E1176" t="s">
        <v>763</v>
      </c>
      <c r="F1176" t="str">
        <f>IFERROR(INDEX(Aux!E:E,MATCH(Dados!E1176,Aux!D:D,0)),INDEX(Aux!K:K,MATCH(Dados!B1176,Aux!I:I,0)))</f>
        <v>Centro direita</v>
      </c>
      <c r="G1176" s="2">
        <v>0</v>
      </c>
      <c r="H1176" s="2">
        <v>43496</v>
      </c>
    </row>
    <row r="1177" spans="1:8" x14ac:dyDescent="0.3">
      <c r="A1177" t="s">
        <v>923</v>
      </c>
      <c r="B1177" t="s">
        <v>770</v>
      </c>
      <c r="C1177" t="s">
        <v>771</v>
      </c>
      <c r="D1177" t="s">
        <v>747</v>
      </c>
      <c r="E1177" t="s">
        <v>748</v>
      </c>
      <c r="F1177" t="str">
        <f>IFERROR(INDEX(Aux!E:E,MATCH(Dados!E1177,Aux!D:D,0)),INDEX(Aux!K:K,MATCH(Dados!B1177,Aux!I:I,0)))</f>
        <v>Centro esquerda</v>
      </c>
      <c r="G1177" s="2">
        <v>0</v>
      </c>
      <c r="H1177" s="2">
        <v>125498</v>
      </c>
    </row>
    <row r="1178" spans="1:8" x14ac:dyDescent="0.3">
      <c r="A1178" t="s">
        <v>923</v>
      </c>
      <c r="B1178" t="s">
        <v>857</v>
      </c>
      <c r="C1178" t="s">
        <v>858</v>
      </c>
      <c r="D1178" t="s">
        <v>100</v>
      </c>
      <c r="E1178" t="s">
        <v>857</v>
      </c>
      <c r="F1178" t="str">
        <f>IFERROR(INDEX(Aux!E:E,MATCH(Dados!E1178,Aux!D:D,0)),INDEX(Aux!K:K,MATCH(Dados!B1178,Aux!I:I,0)))</f>
        <v>Centro direita</v>
      </c>
      <c r="G1178" s="2">
        <v>0</v>
      </c>
      <c r="H1178" s="2">
        <v>276875</v>
      </c>
    </row>
    <row r="1179" spans="1:8" x14ac:dyDescent="0.3">
      <c r="A1179" t="s">
        <v>923</v>
      </c>
      <c r="B1179" t="s">
        <v>716</v>
      </c>
      <c r="C1179" t="s">
        <v>717</v>
      </c>
      <c r="D1179" t="s">
        <v>725</v>
      </c>
      <c r="E1179" t="s">
        <v>726</v>
      </c>
      <c r="F1179" t="str">
        <f>IFERROR(INDEX(Aux!E:E,MATCH(Dados!E1179,Aux!D:D,0)),INDEX(Aux!K:K,MATCH(Dados!B1179,Aux!I:I,0)))</f>
        <v>Centro</v>
      </c>
      <c r="G1179" s="2">
        <v>0</v>
      </c>
      <c r="H1179" s="2">
        <v>178256</v>
      </c>
    </row>
    <row r="1180" spans="1:8" x14ac:dyDescent="0.3">
      <c r="A1180" t="s">
        <v>923</v>
      </c>
      <c r="B1180" t="s">
        <v>690</v>
      </c>
      <c r="C1180" t="s">
        <v>691</v>
      </c>
      <c r="D1180" t="s">
        <v>231</v>
      </c>
      <c r="E1180" t="s">
        <v>232</v>
      </c>
      <c r="F1180" t="str">
        <f>IFERROR(INDEX(Aux!E:E,MATCH(Dados!E1180,Aux!D:D,0)),INDEX(Aux!K:K,MATCH(Dados!B1180,Aux!I:I,0)))</f>
        <v>Centro</v>
      </c>
      <c r="G1180" s="2">
        <v>0</v>
      </c>
      <c r="H1180" s="2">
        <v>28588</v>
      </c>
    </row>
    <row r="1181" spans="1:8" x14ac:dyDescent="0.3">
      <c r="A1181" t="s">
        <v>923</v>
      </c>
      <c r="B1181" t="s">
        <v>664</v>
      </c>
      <c r="C1181" t="s">
        <v>665</v>
      </c>
      <c r="D1181" t="s">
        <v>674</v>
      </c>
      <c r="E1181" t="s">
        <v>675</v>
      </c>
      <c r="F1181" t="str">
        <f>IFERROR(INDEX(Aux!E:E,MATCH(Dados!E1181,Aux!D:D,0)),INDEX(Aux!K:K,MATCH(Dados!B1181,Aux!I:I,0)))</f>
        <v>Indefinido</v>
      </c>
      <c r="G1181" s="2">
        <v>0</v>
      </c>
      <c r="H1181" s="2">
        <v>32849</v>
      </c>
    </row>
    <row r="1182" spans="1:8" x14ac:dyDescent="0.3">
      <c r="A1182" t="s">
        <v>923</v>
      </c>
      <c r="B1182" t="s">
        <v>737</v>
      </c>
      <c r="C1182" t="s">
        <v>738</v>
      </c>
      <c r="D1182" t="s">
        <v>747</v>
      </c>
      <c r="E1182" t="s">
        <v>748</v>
      </c>
      <c r="F1182" t="str">
        <f>IFERROR(INDEX(Aux!E:E,MATCH(Dados!E1182,Aux!D:D,0)),INDEX(Aux!K:K,MATCH(Dados!B1182,Aux!I:I,0)))</f>
        <v>Centro esquerda</v>
      </c>
      <c r="G1182" s="2">
        <v>0</v>
      </c>
      <c r="H1182" s="2">
        <v>15321</v>
      </c>
    </row>
    <row r="1183" spans="1:8" x14ac:dyDescent="0.3">
      <c r="A1183" t="s">
        <v>923</v>
      </c>
      <c r="B1183" t="s">
        <v>488</v>
      </c>
      <c r="C1183" t="s">
        <v>489</v>
      </c>
      <c r="D1183" t="s">
        <v>100</v>
      </c>
      <c r="E1183" t="s">
        <v>488</v>
      </c>
      <c r="F1183" t="str">
        <f>IFERROR(INDEX(Aux!E:E,MATCH(Dados!E1183,Aux!D:D,0)),INDEX(Aux!K:K,MATCH(Dados!B1183,Aux!I:I,0)))</f>
        <v>Esquerda</v>
      </c>
      <c r="G1183" s="2">
        <v>0</v>
      </c>
      <c r="H1183" s="2">
        <v>135500</v>
      </c>
    </row>
    <row r="1184" spans="1:8" x14ac:dyDescent="0.3">
      <c r="A1184" t="s">
        <v>923</v>
      </c>
      <c r="B1184" t="s">
        <v>641</v>
      </c>
      <c r="C1184" t="s">
        <v>642</v>
      </c>
      <c r="D1184" t="s">
        <v>100</v>
      </c>
      <c r="E1184" t="s">
        <v>641</v>
      </c>
      <c r="F1184" t="str">
        <f>IFERROR(INDEX(Aux!E:E,MATCH(Dados!E1184,Aux!D:D,0)),INDEX(Aux!K:K,MATCH(Dados!B1184,Aux!I:I,0)))</f>
        <v>Centro direita</v>
      </c>
      <c r="G1184" s="2">
        <v>0</v>
      </c>
      <c r="H1184" s="2">
        <v>193828</v>
      </c>
    </row>
    <row r="1185" spans="1:8" x14ac:dyDescent="0.3">
      <c r="A1185" t="s">
        <v>923</v>
      </c>
      <c r="B1185" t="s">
        <v>599</v>
      </c>
      <c r="C1185" t="s">
        <v>600</v>
      </c>
      <c r="D1185" t="s">
        <v>611</v>
      </c>
      <c r="E1185" t="s">
        <v>612</v>
      </c>
      <c r="F1185" t="str">
        <f>IFERROR(INDEX(Aux!E:E,MATCH(Dados!E1185,Aux!D:D,0)),INDEX(Aux!K:K,MATCH(Dados!B1185,Aux!I:I,0)))</f>
        <v>Direita</v>
      </c>
      <c r="G1185" s="2">
        <v>0</v>
      </c>
      <c r="H1185" s="2">
        <v>251322</v>
      </c>
    </row>
    <row r="1186" spans="1:8" x14ac:dyDescent="0.3">
      <c r="A1186" t="s">
        <v>923</v>
      </c>
      <c r="B1186" t="s">
        <v>831</v>
      </c>
      <c r="C1186" t="s">
        <v>832</v>
      </c>
      <c r="D1186" t="s">
        <v>674</v>
      </c>
      <c r="E1186" t="s">
        <v>675</v>
      </c>
      <c r="F1186" t="str">
        <f>IFERROR(INDEX(Aux!E:E,MATCH(Dados!E1186,Aux!D:D,0)),INDEX(Aux!K:K,MATCH(Dados!B1186,Aux!I:I,0)))</f>
        <v>Indefinido</v>
      </c>
      <c r="G1186" s="2">
        <v>0</v>
      </c>
      <c r="H1186" s="2">
        <v>428477</v>
      </c>
    </row>
    <row r="1187" spans="1:8" x14ac:dyDescent="0.3">
      <c r="A1187" t="s">
        <v>923</v>
      </c>
      <c r="B1187" t="s">
        <v>558</v>
      </c>
      <c r="C1187" t="s">
        <v>559</v>
      </c>
      <c r="D1187" t="s">
        <v>231</v>
      </c>
      <c r="E1187" t="s">
        <v>232</v>
      </c>
      <c r="F1187" t="str">
        <f>IFERROR(INDEX(Aux!E:E,MATCH(Dados!E1187,Aux!D:D,0)),INDEX(Aux!K:K,MATCH(Dados!B1187,Aux!I:I,0)))</f>
        <v>Centro</v>
      </c>
      <c r="G1187" s="2">
        <v>0</v>
      </c>
      <c r="H1187" s="2">
        <v>85929</v>
      </c>
    </row>
    <row r="1188" spans="1:8" x14ac:dyDescent="0.3">
      <c r="A1188" t="s">
        <v>923</v>
      </c>
      <c r="B1188" t="s">
        <v>484</v>
      </c>
      <c r="C1188" t="s">
        <v>485</v>
      </c>
      <c r="D1188" t="s">
        <v>100</v>
      </c>
      <c r="E1188" t="s">
        <v>484</v>
      </c>
      <c r="F1188" t="str">
        <f>IFERROR(INDEX(Aux!E:E,MATCH(Dados!E1188,Aux!D:D,0)),INDEX(Aux!K:K,MATCH(Dados!B1188,Aux!I:I,0)))</f>
        <v>Esquerda</v>
      </c>
      <c r="G1188" s="2">
        <v>0</v>
      </c>
      <c r="H1188" s="2">
        <v>1121</v>
      </c>
    </row>
    <row r="1189" spans="1:8" x14ac:dyDescent="0.3">
      <c r="A1189" t="s">
        <v>923</v>
      </c>
      <c r="B1189" t="s">
        <v>799</v>
      </c>
      <c r="C1189" t="s">
        <v>800</v>
      </c>
      <c r="D1189" t="s">
        <v>100</v>
      </c>
      <c r="E1189" t="s">
        <v>799</v>
      </c>
      <c r="F1189" t="str">
        <f>IFERROR(INDEX(Aux!E:E,MATCH(Dados!E1189,Aux!D:D,0)),INDEX(Aux!K:K,MATCH(Dados!B1189,Aux!I:I,0)))</f>
        <v>Esquerda</v>
      </c>
      <c r="G1189" s="2">
        <v>0</v>
      </c>
      <c r="H1189" s="2">
        <v>270160</v>
      </c>
    </row>
    <row r="1190" spans="1:8" x14ac:dyDescent="0.3">
      <c r="A1190" t="s">
        <v>923</v>
      </c>
      <c r="B1190" t="s">
        <v>440</v>
      </c>
      <c r="C1190" t="s">
        <v>441</v>
      </c>
      <c r="D1190" t="s">
        <v>231</v>
      </c>
      <c r="E1190" t="s">
        <v>232</v>
      </c>
      <c r="F1190" t="str">
        <f>IFERROR(INDEX(Aux!E:E,MATCH(Dados!E1190,Aux!D:D,0)),INDEX(Aux!K:K,MATCH(Dados!B1190,Aux!I:I,0)))</f>
        <v>Centro</v>
      </c>
      <c r="G1190" s="2">
        <v>0</v>
      </c>
      <c r="H1190" s="2">
        <v>91397</v>
      </c>
    </row>
    <row r="1191" spans="1:8" x14ac:dyDescent="0.3">
      <c r="A1191" t="s">
        <v>923</v>
      </c>
      <c r="B1191" t="s">
        <v>388</v>
      </c>
      <c r="C1191" t="s">
        <v>389</v>
      </c>
      <c r="D1191" t="s">
        <v>294</v>
      </c>
      <c r="E1191" t="s">
        <v>295</v>
      </c>
      <c r="F1191" t="str">
        <f>IFERROR(INDEX(Aux!E:E,MATCH(Dados!E1191,Aux!D:D,0)),INDEX(Aux!K:K,MATCH(Dados!B1191,Aux!I:I,0)))</f>
        <v>Direita</v>
      </c>
      <c r="G1191" s="2">
        <v>0</v>
      </c>
      <c r="H1191" s="2">
        <v>27241</v>
      </c>
    </row>
    <row r="1192" spans="1:8" x14ac:dyDescent="0.3">
      <c r="A1192" t="s">
        <v>923</v>
      </c>
      <c r="B1192" t="s">
        <v>334</v>
      </c>
      <c r="C1192" t="s">
        <v>335</v>
      </c>
      <c r="D1192" t="s">
        <v>145</v>
      </c>
      <c r="E1192" t="s">
        <v>146</v>
      </c>
      <c r="F1192" t="str">
        <f>IFERROR(INDEX(Aux!E:E,MATCH(Dados!E1192,Aux!D:D,0)),INDEX(Aux!K:K,MATCH(Dados!B1192,Aux!I:I,0)))</f>
        <v>Centro esquerda</v>
      </c>
      <c r="G1192" s="2">
        <v>0</v>
      </c>
      <c r="H1192" s="2">
        <v>40303</v>
      </c>
    </row>
    <row r="1193" spans="1:8" x14ac:dyDescent="0.3">
      <c r="A1193" t="s">
        <v>923</v>
      </c>
      <c r="B1193" t="s">
        <v>135</v>
      </c>
      <c r="C1193" t="s">
        <v>136</v>
      </c>
      <c r="D1193" t="s">
        <v>145</v>
      </c>
      <c r="E1193" t="s">
        <v>146</v>
      </c>
      <c r="F1193" t="str">
        <f>IFERROR(INDEX(Aux!E:E,MATCH(Dados!E1193,Aux!D:D,0)),INDEX(Aux!K:K,MATCH(Dados!B1193,Aux!I:I,0)))</f>
        <v>Centro esquerda</v>
      </c>
      <c r="G1193" s="2">
        <v>0</v>
      </c>
      <c r="H1193" s="2">
        <v>6033</v>
      </c>
    </row>
    <row r="1194" spans="1:8" x14ac:dyDescent="0.3">
      <c r="A1194" t="s">
        <v>923</v>
      </c>
      <c r="B1194" t="s">
        <v>4</v>
      </c>
      <c r="C1194" t="s">
        <v>5</v>
      </c>
      <c r="D1194" t="s">
        <v>100</v>
      </c>
      <c r="E1194" t="s">
        <v>4</v>
      </c>
      <c r="F1194" t="str">
        <f>IFERROR(INDEX(Aux!E:E,MATCH(Dados!E1194,Aux!D:D,0)),INDEX(Aux!K:K,MATCH(Dados!B1194,Aux!I:I,0)))</f>
        <v>Esquerda</v>
      </c>
      <c r="G1194" s="2">
        <v>0</v>
      </c>
      <c r="H1194" s="2">
        <v>136232</v>
      </c>
    </row>
    <row r="1195" spans="1:8" x14ac:dyDescent="0.3">
      <c r="A1195" t="s">
        <v>920</v>
      </c>
      <c r="B1195" t="s">
        <v>899</v>
      </c>
      <c r="C1195" t="s">
        <v>900</v>
      </c>
      <c r="D1195" t="s">
        <v>649</v>
      </c>
      <c r="E1195" t="s">
        <v>650</v>
      </c>
      <c r="F1195" t="str">
        <f>IFERROR(INDEX(Aux!E:E,MATCH(Dados!E1195,Aux!D:D,0)),INDEX(Aux!K:K,MATCH(Dados!B1195,Aux!I:I,0)))</f>
        <v>Direita</v>
      </c>
      <c r="G1195" s="2">
        <v>0</v>
      </c>
      <c r="H1195" s="2">
        <v>22566</v>
      </c>
    </row>
    <row r="1196" spans="1:8" x14ac:dyDescent="0.3">
      <c r="A1196" t="s">
        <v>920</v>
      </c>
      <c r="B1196" t="s">
        <v>893</v>
      </c>
      <c r="C1196" t="s">
        <v>894</v>
      </c>
      <c r="D1196" t="s">
        <v>210</v>
      </c>
      <c r="E1196" t="s">
        <v>211</v>
      </c>
      <c r="F1196" t="str">
        <f>IFERROR(INDEX(Aux!E:E,MATCH(Dados!E1196,Aux!D:D,0)),INDEX(Aux!K:K,MATCH(Dados!B1196,Aux!I:I,0)))</f>
        <v>Indefinido</v>
      </c>
      <c r="G1196" s="2">
        <v>0</v>
      </c>
      <c r="H1196" s="2">
        <v>178253</v>
      </c>
    </row>
    <row r="1197" spans="1:8" x14ac:dyDescent="0.3">
      <c r="A1197" t="s">
        <v>920</v>
      </c>
      <c r="B1197" t="s">
        <v>875</v>
      </c>
      <c r="C1197" t="s">
        <v>876</v>
      </c>
      <c r="D1197" t="s">
        <v>490</v>
      </c>
      <c r="E1197" t="s">
        <v>491</v>
      </c>
      <c r="F1197" t="str">
        <f>IFERROR(INDEX(Aux!E:E,MATCH(Dados!E1197,Aux!D:D,0)),INDEX(Aux!K:K,MATCH(Dados!B1197,Aux!I:I,0)))</f>
        <v>Centro</v>
      </c>
      <c r="G1197" s="2">
        <v>0</v>
      </c>
      <c r="H1197" s="2">
        <v>49133</v>
      </c>
    </row>
    <row r="1198" spans="1:8" x14ac:dyDescent="0.3">
      <c r="A1198" t="s">
        <v>920</v>
      </c>
      <c r="B1198" t="s">
        <v>871</v>
      </c>
      <c r="C1198" t="s">
        <v>872</v>
      </c>
      <c r="D1198" t="s">
        <v>100</v>
      </c>
      <c r="E1198" t="s">
        <v>871</v>
      </c>
      <c r="F1198" t="str">
        <f>IFERROR(INDEX(Aux!E:E,MATCH(Dados!E1198,Aux!D:D,0)),INDEX(Aux!K:K,MATCH(Dados!B1198,Aux!I:I,0)))</f>
        <v>Esquerda</v>
      </c>
      <c r="G1198" s="2">
        <v>0</v>
      </c>
      <c r="H1198" s="2">
        <v>134839</v>
      </c>
    </row>
    <row r="1199" spans="1:8" x14ac:dyDescent="0.3">
      <c r="A1199" t="s">
        <v>920</v>
      </c>
      <c r="B1199" t="s">
        <v>864</v>
      </c>
      <c r="C1199" t="s">
        <v>865</v>
      </c>
      <c r="D1199" t="s">
        <v>649</v>
      </c>
      <c r="E1199" t="s">
        <v>650</v>
      </c>
      <c r="F1199" t="str">
        <f>IFERROR(INDEX(Aux!E:E,MATCH(Dados!E1199,Aux!D:D,0)),INDEX(Aux!K:K,MATCH(Dados!B1199,Aux!I:I,0)))</f>
        <v>Direita</v>
      </c>
      <c r="G1199" s="2">
        <v>0</v>
      </c>
      <c r="H1199" s="2">
        <v>250</v>
      </c>
    </row>
    <row r="1200" spans="1:8" x14ac:dyDescent="0.3">
      <c r="A1200" t="s">
        <v>920</v>
      </c>
      <c r="B1200" t="s">
        <v>206</v>
      </c>
      <c r="C1200" t="s">
        <v>207</v>
      </c>
      <c r="D1200" t="s">
        <v>210</v>
      </c>
      <c r="E1200" t="s">
        <v>211</v>
      </c>
      <c r="F1200" t="str">
        <f>IFERROR(INDEX(Aux!E:E,MATCH(Dados!E1200,Aux!D:D,0)),INDEX(Aux!K:K,MATCH(Dados!B1200,Aux!I:I,0)))</f>
        <v>Indefinido</v>
      </c>
      <c r="G1200" s="2">
        <v>0</v>
      </c>
      <c r="H1200" s="2">
        <v>4331</v>
      </c>
    </row>
    <row r="1201" spans="1:8" x14ac:dyDescent="0.3">
      <c r="A1201" t="s">
        <v>920</v>
      </c>
      <c r="B1201" t="s">
        <v>770</v>
      </c>
      <c r="C1201" t="s">
        <v>771</v>
      </c>
      <c r="D1201" t="s">
        <v>100</v>
      </c>
      <c r="E1201" t="s">
        <v>770</v>
      </c>
      <c r="F1201" t="str">
        <f>IFERROR(INDEX(Aux!E:E,MATCH(Dados!E1201,Aux!D:D,0)),INDEX(Aux!K:K,MATCH(Dados!B1201,Aux!I:I,0)))</f>
        <v>Esquerda</v>
      </c>
      <c r="G1201" s="2">
        <v>0</v>
      </c>
      <c r="H1201" s="2">
        <v>45120</v>
      </c>
    </row>
    <row r="1202" spans="1:8" x14ac:dyDescent="0.3">
      <c r="A1202" t="s">
        <v>920</v>
      </c>
      <c r="B1202" t="s">
        <v>716</v>
      </c>
      <c r="C1202" t="s">
        <v>717</v>
      </c>
      <c r="D1202" t="s">
        <v>210</v>
      </c>
      <c r="E1202" t="s">
        <v>211</v>
      </c>
      <c r="F1202" t="str">
        <f>IFERROR(INDEX(Aux!E:E,MATCH(Dados!E1202,Aux!D:D,0)),INDEX(Aux!K:K,MATCH(Dados!B1202,Aux!I:I,0)))</f>
        <v>Indefinido</v>
      </c>
      <c r="G1202" s="2">
        <v>0</v>
      </c>
      <c r="H1202" s="2">
        <v>59429</v>
      </c>
    </row>
    <row r="1203" spans="1:8" x14ac:dyDescent="0.3">
      <c r="A1203" t="s">
        <v>920</v>
      </c>
      <c r="B1203" t="s">
        <v>488</v>
      </c>
      <c r="C1203" t="s">
        <v>489</v>
      </c>
      <c r="D1203" t="s">
        <v>490</v>
      </c>
      <c r="E1203" t="s">
        <v>491</v>
      </c>
      <c r="F1203" t="str">
        <f>IFERROR(INDEX(Aux!E:E,MATCH(Dados!E1203,Aux!D:D,0)),INDEX(Aux!K:K,MATCH(Dados!B1203,Aux!I:I,0)))</f>
        <v>Centro</v>
      </c>
      <c r="G1203" s="2">
        <v>0</v>
      </c>
      <c r="H1203" s="2">
        <v>1008248</v>
      </c>
    </row>
    <row r="1204" spans="1:8" x14ac:dyDescent="0.3">
      <c r="A1204" t="s">
        <v>920</v>
      </c>
      <c r="B1204" t="s">
        <v>641</v>
      </c>
      <c r="C1204" t="s">
        <v>642</v>
      </c>
      <c r="D1204" t="s">
        <v>649</v>
      </c>
      <c r="E1204" t="s">
        <v>650</v>
      </c>
      <c r="F1204" t="str">
        <f>IFERROR(INDEX(Aux!E:E,MATCH(Dados!E1204,Aux!D:D,0)),INDEX(Aux!K:K,MATCH(Dados!B1204,Aux!I:I,0)))</f>
        <v>Direita</v>
      </c>
      <c r="G1204" s="2">
        <v>0</v>
      </c>
      <c r="H1204" s="2">
        <v>392423</v>
      </c>
    </row>
    <row r="1205" spans="1:8" x14ac:dyDescent="0.3">
      <c r="A1205" t="s">
        <v>920</v>
      </c>
      <c r="B1205" t="s">
        <v>599</v>
      </c>
      <c r="C1205" t="s">
        <v>600</v>
      </c>
      <c r="D1205" t="s">
        <v>490</v>
      </c>
      <c r="E1205" t="s">
        <v>491</v>
      </c>
      <c r="F1205" t="str">
        <f>IFERROR(INDEX(Aux!E:E,MATCH(Dados!E1205,Aux!D:D,0)),INDEX(Aux!K:K,MATCH(Dados!B1205,Aux!I:I,0)))</f>
        <v>Centro</v>
      </c>
      <c r="G1205" s="2">
        <v>0</v>
      </c>
      <c r="H1205" s="2">
        <v>149192</v>
      </c>
    </row>
    <row r="1206" spans="1:8" x14ac:dyDescent="0.3">
      <c r="A1206" t="s">
        <v>920</v>
      </c>
      <c r="B1206" t="s">
        <v>831</v>
      </c>
      <c r="C1206" t="s">
        <v>832</v>
      </c>
      <c r="D1206" t="s">
        <v>210</v>
      </c>
      <c r="E1206" t="s">
        <v>211</v>
      </c>
      <c r="F1206" t="str">
        <f>IFERROR(INDEX(Aux!E:E,MATCH(Dados!E1206,Aux!D:D,0)),INDEX(Aux!K:K,MATCH(Dados!B1206,Aux!I:I,0)))</f>
        <v>Indefinido</v>
      </c>
      <c r="G1206" s="2">
        <v>0</v>
      </c>
      <c r="H1206" s="2">
        <v>74376</v>
      </c>
    </row>
    <row r="1207" spans="1:8" x14ac:dyDescent="0.3">
      <c r="A1207" t="s">
        <v>920</v>
      </c>
      <c r="B1207" t="s">
        <v>440</v>
      </c>
      <c r="C1207" t="s">
        <v>441</v>
      </c>
      <c r="D1207" t="s">
        <v>210</v>
      </c>
      <c r="E1207" t="s">
        <v>211</v>
      </c>
      <c r="F1207" t="str">
        <f>IFERROR(INDEX(Aux!E:E,MATCH(Dados!E1207,Aux!D:D,0)),INDEX(Aux!K:K,MATCH(Dados!B1207,Aux!I:I,0)))</f>
        <v>Indefinido</v>
      </c>
      <c r="G1207" s="2">
        <v>0</v>
      </c>
      <c r="H1207" s="2">
        <v>214564</v>
      </c>
    </row>
    <row r="1208" spans="1:8" x14ac:dyDescent="0.3">
      <c r="A1208" t="s">
        <v>924</v>
      </c>
      <c r="B1208" t="s">
        <v>902</v>
      </c>
      <c r="C1208" t="s">
        <v>902</v>
      </c>
      <c r="D1208" t="s">
        <v>192</v>
      </c>
      <c r="E1208" t="s">
        <v>193</v>
      </c>
      <c r="F1208" t="str">
        <f>IFERROR(INDEX(Aux!E:E,MATCH(Dados!E1208,Aux!D:D,0)),INDEX(Aux!K:K,MATCH(Dados!B1208,Aux!I:I,0)))</f>
        <v>Centro</v>
      </c>
      <c r="G1208" s="2">
        <v>0</v>
      </c>
      <c r="H1208" s="2">
        <v>4318</v>
      </c>
    </row>
    <row r="1209" spans="1:8" x14ac:dyDescent="0.3">
      <c r="A1209" t="s">
        <v>924</v>
      </c>
      <c r="B1209" t="s">
        <v>875</v>
      </c>
      <c r="C1209" t="s">
        <v>876</v>
      </c>
      <c r="D1209" t="s">
        <v>448</v>
      </c>
      <c r="E1209" t="s">
        <v>449</v>
      </c>
      <c r="F1209" t="str">
        <f>IFERROR(INDEX(Aux!E:E,MATCH(Dados!E1209,Aux!D:D,0)),INDEX(Aux!K:K,MATCH(Dados!B1209,Aux!I:I,0)))</f>
        <v>Centro</v>
      </c>
      <c r="G1209" s="2">
        <v>0</v>
      </c>
      <c r="H1209" s="2">
        <v>265564</v>
      </c>
    </row>
    <row r="1210" spans="1:8" x14ac:dyDescent="0.3">
      <c r="A1210" t="s">
        <v>924</v>
      </c>
      <c r="B1210" t="s">
        <v>282</v>
      </c>
      <c r="C1210" t="s">
        <v>283</v>
      </c>
      <c r="D1210" t="s">
        <v>192</v>
      </c>
      <c r="E1210" t="s">
        <v>193</v>
      </c>
      <c r="F1210" t="str">
        <f>IFERROR(INDEX(Aux!E:E,MATCH(Dados!E1210,Aux!D:D,0)),INDEX(Aux!K:K,MATCH(Dados!B1210,Aux!I:I,0)))</f>
        <v>Centro</v>
      </c>
      <c r="G1210" s="2">
        <v>0</v>
      </c>
      <c r="H1210" s="2">
        <v>781</v>
      </c>
    </row>
    <row r="1211" spans="1:8" x14ac:dyDescent="0.3">
      <c r="A1211" t="s">
        <v>924</v>
      </c>
      <c r="B1211" t="s">
        <v>871</v>
      </c>
      <c r="C1211" t="s">
        <v>872</v>
      </c>
      <c r="D1211" t="s">
        <v>448</v>
      </c>
      <c r="E1211" t="s">
        <v>449</v>
      </c>
      <c r="F1211" t="str">
        <f>IFERROR(INDEX(Aux!E:E,MATCH(Dados!E1211,Aux!D:D,0)),INDEX(Aux!K:K,MATCH(Dados!B1211,Aux!I:I,0)))</f>
        <v>Centro</v>
      </c>
      <c r="G1211" s="2">
        <v>0</v>
      </c>
      <c r="H1211" s="2">
        <v>28288</v>
      </c>
    </row>
    <row r="1212" spans="1:8" x14ac:dyDescent="0.3">
      <c r="A1212" t="s">
        <v>924</v>
      </c>
      <c r="B1212" t="s">
        <v>869</v>
      </c>
      <c r="C1212" t="s">
        <v>870</v>
      </c>
      <c r="D1212" t="s">
        <v>100</v>
      </c>
      <c r="E1212" t="s">
        <v>869</v>
      </c>
      <c r="F1212" t="str">
        <f>IFERROR(INDEX(Aux!E:E,MATCH(Dados!E1212,Aux!D:D,0)),INDEX(Aux!K:K,MATCH(Dados!B1212,Aux!I:I,0)))</f>
        <v>Esquerda</v>
      </c>
      <c r="G1212" s="2">
        <v>0</v>
      </c>
      <c r="H1212" s="2">
        <v>60</v>
      </c>
    </row>
    <row r="1213" spans="1:8" x14ac:dyDescent="0.3">
      <c r="A1213" t="s">
        <v>924</v>
      </c>
      <c r="B1213" t="s">
        <v>817</v>
      </c>
      <c r="C1213" t="s">
        <v>818</v>
      </c>
      <c r="D1213" t="s">
        <v>448</v>
      </c>
      <c r="E1213" t="s">
        <v>449</v>
      </c>
      <c r="F1213" t="str">
        <f>IFERROR(INDEX(Aux!E:E,MATCH(Dados!E1213,Aux!D:D,0)),INDEX(Aux!K:K,MATCH(Dados!B1213,Aux!I:I,0)))</f>
        <v>Centro</v>
      </c>
      <c r="G1213" s="2">
        <v>0</v>
      </c>
      <c r="H1213" s="2">
        <v>47007</v>
      </c>
    </row>
    <row r="1214" spans="1:8" x14ac:dyDescent="0.3">
      <c r="A1214" t="s">
        <v>924</v>
      </c>
      <c r="B1214" t="s">
        <v>787</v>
      </c>
      <c r="C1214" t="s">
        <v>788</v>
      </c>
      <c r="D1214" t="s">
        <v>192</v>
      </c>
      <c r="E1214" t="s">
        <v>193</v>
      </c>
      <c r="F1214" t="str">
        <f>IFERROR(INDEX(Aux!E:E,MATCH(Dados!E1214,Aux!D:D,0)),INDEX(Aux!K:K,MATCH(Dados!B1214,Aux!I:I,0)))</f>
        <v>Centro</v>
      </c>
      <c r="G1214" s="2">
        <v>0</v>
      </c>
      <c r="H1214" s="2">
        <v>32785</v>
      </c>
    </row>
    <row r="1215" spans="1:8" x14ac:dyDescent="0.3">
      <c r="A1215" t="s">
        <v>924</v>
      </c>
      <c r="B1215" t="s">
        <v>206</v>
      </c>
      <c r="C1215" t="s">
        <v>207</v>
      </c>
      <c r="D1215" t="s">
        <v>192</v>
      </c>
      <c r="E1215" t="s">
        <v>193</v>
      </c>
      <c r="F1215" t="str">
        <f>IFERROR(INDEX(Aux!E:E,MATCH(Dados!E1215,Aux!D:D,0)),INDEX(Aux!K:K,MATCH(Dados!B1215,Aux!I:I,0)))</f>
        <v>Centro</v>
      </c>
      <c r="G1215" s="2">
        <v>0</v>
      </c>
      <c r="H1215" s="2">
        <v>9793</v>
      </c>
    </row>
    <row r="1216" spans="1:8" x14ac:dyDescent="0.3">
      <c r="A1216" t="s">
        <v>924</v>
      </c>
      <c r="B1216" t="s">
        <v>756</v>
      </c>
      <c r="C1216" t="s">
        <v>757</v>
      </c>
      <c r="D1216" t="s">
        <v>448</v>
      </c>
      <c r="E1216" t="s">
        <v>449</v>
      </c>
      <c r="F1216" t="str">
        <f>IFERROR(INDEX(Aux!E:E,MATCH(Dados!E1216,Aux!D:D,0)),INDEX(Aux!K:K,MATCH(Dados!B1216,Aux!I:I,0)))</f>
        <v>Centro</v>
      </c>
      <c r="G1216" s="2">
        <v>0</v>
      </c>
      <c r="H1216" s="2">
        <v>262882</v>
      </c>
    </row>
    <row r="1217" spans="1:8" x14ac:dyDescent="0.3">
      <c r="A1217" t="s">
        <v>924</v>
      </c>
      <c r="B1217" t="s">
        <v>770</v>
      </c>
      <c r="C1217" t="s">
        <v>771</v>
      </c>
      <c r="D1217" t="s">
        <v>192</v>
      </c>
      <c r="E1217" t="s">
        <v>193</v>
      </c>
      <c r="F1217" t="str">
        <f>IFERROR(INDEX(Aux!E:E,MATCH(Dados!E1217,Aux!D:D,0)),INDEX(Aux!K:K,MATCH(Dados!B1217,Aux!I:I,0)))</f>
        <v>Centro</v>
      </c>
      <c r="G1217" s="2">
        <v>0</v>
      </c>
      <c r="H1217" s="2">
        <v>29092</v>
      </c>
    </row>
    <row r="1218" spans="1:8" x14ac:dyDescent="0.3">
      <c r="A1218" t="s">
        <v>924</v>
      </c>
      <c r="B1218" t="s">
        <v>857</v>
      </c>
      <c r="C1218" t="s">
        <v>858</v>
      </c>
      <c r="D1218" t="s">
        <v>448</v>
      </c>
      <c r="E1218" t="s">
        <v>449</v>
      </c>
      <c r="F1218" t="str">
        <f>IFERROR(INDEX(Aux!E:E,MATCH(Dados!E1218,Aux!D:D,0)),INDEX(Aux!K:K,MATCH(Dados!B1218,Aux!I:I,0)))</f>
        <v>Centro</v>
      </c>
      <c r="G1218" s="2">
        <v>0</v>
      </c>
      <c r="H1218" s="2">
        <v>110448</v>
      </c>
    </row>
    <row r="1219" spans="1:8" x14ac:dyDescent="0.3">
      <c r="A1219" t="s">
        <v>924</v>
      </c>
      <c r="B1219" t="s">
        <v>664</v>
      </c>
      <c r="C1219" t="s">
        <v>665</v>
      </c>
      <c r="D1219" t="s">
        <v>192</v>
      </c>
      <c r="E1219" t="s">
        <v>193</v>
      </c>
      <c r="F1219" t="str">
        <f>IFERROR(INDEX(Aux!E:E,MATCH(Dados!E1219,Aux!D:D,0)),INDEX(Aux!K:K,MATCH(Dados!B1219,Aux!I:I,0)))</f>
        <v>Centro</v>
      </c>
      <c r="G1219" s="2">
        <v>0</v>
      </c>
      <c r="H1219" s="2">
        <v>32148</v>
      </c>
    </row>
    <row r="1220" spans="1:8" x14ac:dyDescent="0.3">
      <c r="A1220" t="s">
        <v>924</v>
      </c>
      <c r="B1220" t="s">
        <v>737</v>
      </c>
      <c r="C1220" t="s">
        <v>738</v>
      </c>
      <c r="D1220" t="s">
        <v>448</v>
      </c>
      <c r="E1220" t="s">
        <v>449</v>
      </c>
      <c r="F1220" t="str">
        <f>IFERROR(INDEX(Aux!E:E,MATCH(Dados!E1220,Aux!D:D,0)),INDEX(Aux!K:K,MATCH(Dados!B1220,Aux!I:I,0)))</f>
        <v>Centro</v>
      </c>
      <c r="G1220" s="2">
        <v>0</v>
      </c>
      <c r="H1220" s="2">
        <v>43483</v>
      </c>
    </row>
    <row r="1221" spans="1:8" x14ac:dyDescent="0.3">
      <c r="A1221" t="s">
        <v>924</v>
      </c>
      <c r="B1221" t="s">
        <v>488</v>
      </c>
      <c r="C1221" t="s">
        <v>489</v>
      </c>
      <c r="D1221" t="s">
        <v>527</v>
      </c>
      <c r="E1221" t="s">
        <v>528</v>
      </c>
      <c r="F1221" t="str">
        <f>IFERROR(INDEX(Aux!E:E,MATCH(Dados!E1221,Aux!D:D,0)),INDEX(Aux!K:K,MATCH(Dados!B1221,Aux!I:I,0)))</f>
        <v>Esquerda</v>
      </c>
      <c r="G1221" s="2">
        <v>0</v>
      </c>
      <c r="H1221" s="2">
        <v>59497</v>
      </c>
    </row>
    <row r="1222" spans="1:8" x14ac:dyDescent="0.3">
      <c r="A1222" t="s">
        <v>924</v>
      </c>
      <c r="B1222" t="s">
        <v>599</v>
      </c>
      <c r="C1222" t="s">
        <v>600</v>
      </c>
      <c r="D1222" t="s">
        <v>448</v>
      </c>
      <c r="E1222" t="s">
        <v>449</v>
      </c>
      <c r="F1222" t="str">
        <f>IFERROR(INDEX(Aux!E:E,MATCH(Dados!E1222,Aux!D:D,0)),INDEX(Aux!K:K,MATCH(Dados!B1222,Aux!I:I,0)))</f>
        <v>Centro</v>
      </c>
      <c r="G1222" s="2">
        <v>0</v>
      </c>
      <c r="H1222" s="2">
        <v>80474</v>
      </c>
    </row>
    <row r="1223" spans="1:8" x14ac:dyDescent="0.3">
      <c r="A1223" t="s">
        <v>924</v>
      </c>
      <c r="B1223" t="s">
        <v>831</v>
      </c>
      <c r="C1223" t="s">
        <v>832</v>
      </c>
      <c r="D1223" t="s">
        <v>527</v>
      </c>
      <c r="E1223" t="s">
        <v>528</v>
      </c>
      <c r="F1223" t="str">
        <f>IFERROR(INDEX(Aux!E:E,MATCH(Dados!E1223,Aux!D:D,0)),INDEX(Aux!K:K,MATCH(Dados!B1223,Aux!I:I,0)))</f>
        <v>Esquerda</v>
      </c>
      <c r="G1223" s="2">
        <v>0</v>
      </c>
      <c r="H1223" s="2">
        <v>72932</v>
      </c>
    </row>
    <row r="1224" spans="1:8" x14ac:dyDescent="0.3">
      <c r="A1224" t="s">
        <v>924</v>
      </c>
      <c r="B1224" t="s">
        <v>799</v>
      </c>
      <c r="C1224" t="s">
        <v>800</v>
      </c>
      <c r="D1224" t="s">
        <v>448</v>
      </c>
      <c r="E1224" t="s">
        <v>449</v>
      </c>
      <c r="F1224" t="str">
        <f>IFERROR(INDEX(Aux!E:E,MATCH(Dados!E1224,Aux!D:D,0)),INDEX(Aux!K:K,MATCH(Dados!B1224,Aux!I:I,0)))</f>
        <v>Centro</v>
      </c>
      <c r="G1224" s="2">
        <v>0</v>
      </c>
      <c r="H1224" s="2">
        <v>302438</v>
      </c>
    </row>
    <row r="1225" spans="1:8" x14ac:dyDescent="0.3">
      <c r="A1225" t="s">
        <v>924</v>
      </c>
      <c r="B1225" t="s">
        <v>440</v>
      </c>
      <c r="C1225" t="s">
        <v>441</v>
      </c>
      <c r="D1225" t="s">
        <v>448</v>
      </c>
      <c r="E1225" t="s">
        <v>449</v>
      </c>
      <c r="F1225" t="str">
        <f>IFERROR(INDEX(Aux!E:E,MATCH(Dados!E1225,Aux!D:D,0)),INDEX(Aux!K:K,MATCH(Dados!B1225,Aux!I:I,0)))</f>
        <v>Centro</v>
      </c>
      <c r="G1225" s="2">
        <v>0</v>
      </c>
      <c r="H1225" s="2">
        <v>84910</v>
      </c>
    </row>
    <row r="1226" spans="1:8" x14ac:dyDescent="0.3">
      <c r="A1226" t="s">
        <v>924</v>
      </c>
      <c r="B1226" t="s">
        <v>334</v>
      </c>
      <c r="C1226" t="s">
        <v>335</v>
      </c>
      <c r="D1226" t="s">
        <v>192</v>
      </c>
      <c r="E1226" t="s">
        <v>193</v>
      </c>
      <c r="F1226" t="str">
        <f>IFERROR(INDEX(Aux!E:E,MATCH(Dados!E1226,Aux!D:D,0)),INDEX(Aux!K:K,MATCH(Dados!B1226,Aux!I:I,0)))</f>
        <v>Centro</v>
      </c>
      <c r="G1226" s="2">
        <v>0</v>
      </c>
      <c r="H1226" s="2">
        <v>23489</v>
      </c>
    </row>
    <row r="1227" spans="1:8" x14ac:dyDescent="0.3">
      <c r="A1227" t="s">
        <v>924</v>
      </c>
      <c r="B1227" t="s">
        <v>135</v>
      </c>
      <c r="C1227" t="s">
        <v>136</v>
      </c>
      <c r="D1227" t="s">
        <v>192</v>
      </c>
      <c r="E1227" t="s">
        <v>193</v>
      </c>
      <c r="F1227" t="str">
        <f>IFERROR(INDEX(Aux!E:E,MATCH(Dados!E1227,Aux!D:D,0)),INDEX(Aux!K:K,MATCH(Dados!B1227,Aux!I:I,0)))</f>
        <v>Centro</v>
      </c>
      <c r="G1227" s="2">
        <v>0</v>
      </c>
      <c r="H1227" s="2">
        <v>767</v>
      </c>
    </row>
    <row r="1228" spans="1:8" x14ac:dyDescent="0.3">
      <c r="A1228" t="s">
        <v>929</v>
      </c>
      <c r="B1228" t="s">
        <v>902</v>
      </c>
      <c r="C1228" t="s">
        <v>902</v>
      </c>
      <c r="D1228" t="s">
        <v>723</v>
      </c>
      <c r="E1228" t="s">
        <v>724</v>
      </c>
      <c r="F1228" t="str">
        <f>IFERROR(INDEX(Aux!E:E,MATCH(Dados!E1228,Aux!D:D,0)),INDEX(Aux!K:K,MATCH(Dados!B1228,Aux!I:I,0)))</f>
        <v>Centro</v>
      </c>
      <c r="G1228" s="2">
        <v>0</v>
      </c>
      <c r="H1228" s="2">
        <v>86346</v>
      </c>
    </row>
    <row r="1229" spans="1:8" x14ac:dyDescent="0.3">
      <c r="A1229" t="s">
        <v>929</v>
      </c>
      <c r="B1229" t="s">
        <v>899</v>
      </c>
      <c r="C1229" t="s">
        <v>900</v>
      </c>
      <c r="D1229" t="s">
        <v>328</v>
      </c>
      <c r="E1229" t="s">
        <v>329</v>
      </c>
      <c r="F1229" t="str">
        <f>IFERROR(INDEX(Aux!E:E,MATCH(Dados!E1229,Aux!D:D,0)),INDEX(Aux!K:K,MATCH(Dados!B1229,Aux!I:I,0)))</f>
        <v>Direita</v>
      </c>
      <c r="G1229" s="2">
        <v>0</v>
      </c>
      <c r="H1229" s="2">
        <v>6240</v>
      </c>
    </row>
    <row r="1230" spans="1:8" x14ac:dyDescent="0.3">
      <c r="A1230" t="s">
        <v>929</v>
      </c>
      <c r="B1230" t="s">
        <v>893</v>
      </c>
      <c r="C1230" t="s">
        <v>894</v>
      </c>
      <c r="D1230" t="s">
        <v>267</v>
      </c>
      <c r="E1230" t="s">
        <v>227</v>
      </c>
      <c r="F1230" t="str">
        <f>IFERROR(INDEX(Aux!E:E,MATCH(Dados!E1230,Aux!D:D,0)),INDEX(Aux!K:K,MATCH(Dados!B1230,Aux!I:I,0)))</f>
        <v>Indefinido</v>
      </c>
      <c r="G1230" s="2">
        <v>0</v>
      </c>
      <c r="H1230" s="2">
        <v>39347</v>
      </c>
    </row>
    <row r="1231" spans="1:8" x14ac:dyDescent="0.3">
      <c r="A1231" t="s">
        <v>929</v>
      </c>
      <c r="B1231" t="s">
        <v>875</v>
      </c>
      <c r="C1231" t="s">
        <v>876</v>
      </c>
      <c r="D1231" t="s">
        <v>267</v>
      </c>
      <c r="E1231" t="s">
        <v>227</v>
      </c>
      <c r="F1231" t="str">
        <f>IFERROR(INDEX(Aux!E:E,MATCH(Dados!E1231,Aux!D:D,0)),INDEX(Aux!K:K,MATCH(Dados!B1231,Aux!I:I,0)))</f>
        <v>Indefinido</v>
      </c>
      <c r="G1231" s="2">
        <v>0</v>
      </c>
      <c r="H1231" s="2">
        <v>118307</v>
      </c>
    </row>
    <row r="1232" spans="1:8" x14ac:dyDescent="0.3">
      <c r="A1232" t="s">
        <v>929</v>
      </c>
      <c r="B1232" t="s">
        <v>282</v>
      </c>
      <c r="C1232" t="s">
        <v>283</v>
      </c>
      <c r="D1232" t="s">
        <v>328</v>
      </c>
      <c r="E1232" t="s">
        <v>329</v>
      </c>
      <c r="F1232" t="str">
        <f>IFERROR(INDEX(Aux!E:E,MATCH(Dados!E1232,Aux!D:D,0)),INDEX(Aux!K:K,MATCH(Dados!B1232,Aux!I:I,0)))</f>
        <v>Direita</v>
      </c>
      <c r="G1232" s="2">
        <v>0</v>
      </c>
      <c r="H1232" s="2">
        <v>4127</v>
      </c>
    </row>
    <row r="1233" spans="1:8" x14ac:dyDescent="0.3">
      <c r="A1233" t="s">
        <v>929</v>
      </c>
      <c r="B1233" t="s">
        <v>817</v>
      </c>
      <c r="C1233" t="s">
        <v>818</v>
      </c>
      <c r="D1233" t="s">
        <v>267</v>
      </c>
      <c r="E1233" t="s">
        <v>227</v>
      </c>
      <c r="F1233" t="str">
        <f>IFERROR(INDEX(Aux!E:E,MATCH(Dados!E1233,Aux!D:D,0)),INDEX(Aux!K:K,MATCH(Dados!B1233,Aux!I:I,0)))</f>
        <v>Indefinido</v>
      </c>
      <c r="G1233" s="2">
        <v>0</v>
      </c>
      <c r="H1233" s="2">
        <v>23347</v>
      </c>
    </row>
    <row r="1234" spans="1:8" x14ac:dyDescent="0.3">
      <c r="A1234" t="s">
        <v>929</v>
      </c>
      <c r="B1234" t="s">
        <v>864</v>
      </c>
      <c r="C1234" t="s">
        <v>865</v>
      </c>
      <c r="D1234" t="s">
        <v>420</v>
      </c>
      <c r="E1234" t="s">
        <v>421</v>
      </c>
      <c r="F1234" t="str">
        <f>IFERROR(INDEX(Aux!E:E,MATCH(Dados!E1234,Aux!D:D,0)),INDEX(Aux!K:K,MATCH(Dados!B1234,Aux!I:I,0)))</f>
        <v>Centro</v>
      </c>
      <c r="G1234" s="2">
        <v>0</v>
      </c>
      <c r="H1234" s="2">
        <v>44579</v>
      </c>
    </row>
    <row r="1235" spans="1:8" x14ac:dyDescent="0.3">
      <c r="A1235" t="s">
        <v>929</v>
      </c>
      <c r="B1235" t="s">
        <v>206</v>
      </c>
      <c r="C1235" t="s">
        <v>207</v>
      </c>
      <c r="D1235" t="s">
        <v>267</v>
      </c>
      <c r="E1235" t="s">
        <v>227</v>
      </c>
      <c r="F1235" t="str">
        <f>IFERROR(INDEX(Aux!E:E,MATCH(Dados!E1235,Aux!D:D,0)),INDEX(Aux!K:K,MATCH(Dados!B1235,Aux!I:I,0)))</f>
        <v>Indefinido</v>
      </c>
      <c r="G1235" s="2">
        <v>0</v>
      </c>
      <c r="H1235" s="2">
        <v>2856</v>
      </c>
    </row>
    <row r="1236" spans="1:8" x14ac:dyDescent="0.3">
      <c r="A1236" t="s">
        <v>929</v>
      </c>
      <c r="B1236" t="s">
        <v>756</v>
      </c>
      <c r="C1236" t="s">
        <v>757</v>
      </c>
      <c r="D1236" t="s">
        <v>267</v>
      </c>
      <c r="E1236" t="s">
        <v>227</v>
      </c>
      <c r="F1236" t="str">
        <f>IFERROR(INDEX(Aux!E:E,MATCH(Dados!E1236,Aux!D:D,0)),INDEX(Aux!K:K,MATCH(Dados!B1236,Aux!I:I,0)))</f>
        <v>Indefinido</v>
      </c>
      <c r="G1236" s="2">
        <v>0</v>
      </c>
      <c r="H1236" s="2">
        <v>2232</v>
      </c>
    </row>
    <row r="1237" spans="1:8" x14ac:dyDescent="0.3">
      <c r="A1237" t="s">
        <v>929</v>
      </c>
      <c r="B1237" t="s">
        <v>783</v>
      </c>
      <c r="C1237" t="s">
        <v>784</v>
      </c>
      <c r="D1237" t="s">
        <v>328</v>
      </c>
      <c r="E1237" t="s">
        <v>329</v>
      </c>
      <c r="F1237" t="str">
        <f>IFERROR(INDEX(Aux!E:E,MATCH(Dados!E1237,Aux!D:D,0)),INDEX(Aux!K:K,MATCH(Dados!B1237,Aux!I:I,0)))</f>
        <v>Direita</v>
      </c>
      <c r="G1237" s="2">
        <v>0</v>
      </c>
      <c r="H1237" s="2">
        <v>40098</v>
      </c>
    </row>
    <row r="1238" spans="1:8" x14ac:dyDescent="0.3">
      <c r="A1238" t="s">
        <v>929</v>
      </c>
      <c r="B1238" t="s">
        <v>857</v>
      </c>
      <c r="C1238" t="s">
        <v>858</v>
      </c>
      <c r="D1238" t="s">
        <v>529</v>
      </c>
      <c r="E1238" t="s">
        <v>530</v>
      </c>
      <c r="F1238" t="str">
        <f>IFERROR(INDEX(Aux!E:E,MATCH(Dados!E1238,Aux!D:D,0)),INDEX(Aux!K:K,MATCH(Dados!B1238,Aux!I:I,0)))</f>
        <v>Centro direita</v>
      </c>
      <c r="G1238" s="2">
        <v>0</v>
      </c>
      <c r="H1238" s="2">
        <v>91766</v>
      </c>
    </row>
    <row r="1239" spans="1:8" x14ac:dyDescent="0.3">
      <c r="A1239" t="s">
        <v>929</v>
      </c>
      <c r="B1239" t="s">
        <v>716</v>
      </c>
      <c r="C1239" t="s">
        <v>717</v>
      </c>
      <c r="D1239" t="s">
        <v>723</v>
      </c>
      <c r="E1239" t="s">
        <v>724</v>
      </c>
      <c r="F1239" t="str">
        <f>IFERROR(INDEX(Aux!E:E,MATCH(Dados!E1239,Aux!D:D,0)),INDEX(Aux!K:K,MATCH(Dados!B1239,Aux!I:I,0)))</f>
        <v>Centro</v>
      </c>
      <c r="G1239" s="2">
        <v>0</v>
      </c>
      <c r="H1239" s="2">
        <v>34829</v>
      </c>
    </row>
    <row r="1240" spans="1:8" x14ac:dyDescent="0.3">
      <c r="A1240" t="s">
        <v>929</v>
      </c>
      <c r="B1240" t="s">
        <v>690</v>
      </c>
      <c r="C1240" t="s">
        <v>691</v>
      </c>
      <c r="D1240" t="s">
        <v>529</v>
      </c>
      <c r="E1240" t="s">
        <v>530</v>
      </c>
      <c r="F1240" t="str">
        <f>IFERROR(INDEX(Aux!E:E,MATCH(Dados!E1240,Aux!D:D,0)),INDEX(Aux!K:K,MATCH(Dados!B1240,Aux!I:I,0)))</f>
        <v>Centro direita</v>
      </c>
      <c r="G1240" s="2">
        <v>0</v>
      </c>
      <c r="H1240" s="2">
        <v>31864</v>
      </c>
    </row>
    <row r="1241" spans="1:8" x14ac:dyDescent="0.3">
      <c r="A1241" t="s">
        <v>929</v>
      </c>
      <c r="B1241" t="s">
        <v>664</v>
      </c>
      <c r="C1241" t="s">
        <v>665</v>
      </c>
      <c r="D1241" t="s">
        <v>420</v>
      </c>
      <c r="E1241" t="s">
        <v>421</v>
      </c>
      <c r="F1241" t="str">
        <f>IFERROR(INDEX(Aux!E:E,MATCH(Dados!E1241,Aux!D:D,0)),INDEX(Aux!K:K,MATCH(Dados!B1241,Aux!I:I,0)))</f>
        <v>Centro</v>
      </c>
      <c r="G1241" s="2">
        <v>0</v>
      </c>
      <c r="H1241" s="2">
        <v>14247</v>
      </c>
    </row>
    <row r="1242" spans="1:8" x14ac:dyDescent="0.3">
      <c r="A1242" t="s">
        <v>929</v>
      </c>
      <c r="B1242" t="s">
        <v>488</v>
      </c>
      <c r="C1242" t="s">
        <v>489</v>
      </c>
      <c r="D1242" t="s">
        <v>529</v>
      </c>
      <c r="E1242" t="s">
        <v>530</v>
      </c>
      <c r="F1242" t="str">
        <f>IFERROR(INDEX(Aux!E:E,MATCH(Dados!E1242,Aux!D:D,0)),INDEX(Aux!K:K,MATCH(Dados!B1242,Aux!I:I,0)))</f>
        <v>Centro direita</v>
      </c>
      <c r="G1242" s="2">
        <v>0</v>
      </c>
      <c r="H1242" s="2">
        <v>21204</v>
      </c>
    </row>
    <row r="1243" spans="1:8" x14ac:dyDescent="0.3">
      <c r="A1243" t="s">
        <v>929</v>
      </c>
      <c r="B1243" t="s">
        <v>641</v>
      </c>
      <c r="C1243" t="s">
        <v>642</v>
      </c>
      <c r="D1243" t="s">
        <v>328</v>
      </c>
      <c r="E1243" t="s">
        <v>329</v>
      </c>
      <c r="F1243" t="str">
        <f>IFERROR(INDEX(Aux!E:E,MATCH(Dados!E1243,Aux!D:D,0)),INDEX(Aux!K:K,MATCH(Dados!B1243,Aux!I:I,0)))</f>
        <v>Direita</v>
      </c>
      <c r="G1243" s="2">
        <v>0</v>
      </c>
      <c r="H1243" s="2">
        <v>19942</v>
      </c>
    </row>
    <row r="1244" spans="1:8" x14ac:dyDescent="0.3">
      <c r="A1244" t="s">
        <v>929</v>
      </c>
      <c r="B1244" t="s">
        <v>599</v>
      </c>
      <c r="C1244" t="s">
        <v>600</v>
      </c>
      <c r="D1244" t="s">
        <v>529</v>
      </c>
      <c r="E1244" t="s">
        <v>530</v>
      </c>
      <c r="F1244" t="str">
        <f>IFERROR(INDEX(Aux!E:E,MATCH(Dados!E1244,Aux!D:D,0)),INDEX(Aux!K:K,MATCH(Dados!B1244,Aux!I:I,0)))</f>
        <v>Centro direita</v>
      </c>
      <c r="G1244" s="2">
        <v>0</v>
      </c>
      <c r="H1244" s="2">
        <v>163033</v>
      </c>
    </row>
    <row r="1245" spans="1:8" x14ac:dyDescent="0.3">
      <c r="A1245" t="s">
        <v>929</v>
      </c>
      <c r="B1245" t="s">
        <v>831</v>
      </c>
      <c r="C1245" t="s">
        <v>832</v>
      </c>
      <c r="D1245" t="s">
        <v>529</v>
      </c>
      <c r="E1245" t="s">
        <v>530</v>
      </c>
      <c r="F1245" t="str">
        <f>IFERROR(INDEX(Aux!E:E,MATCH(Dados!E1245,Aux!D:D,0)),INDEX(Aux!K:K,MATCH(Dados!B1245,Aux!I:I,0)))</f>
        <v>Centro direita</v>
      </c>
      <c r="G1245" s="2">
        <v>0</v>
      </c>
      <c r="H1245" s="2">
        <v>277177</v>
      </c>
    </row>
    <row r="1246" spans="1:8" x14ac:dyDescent="0.3">
      <c r="A1246" t="s">
        <v>929</v>
      </c>
      <c r="B1246" t="s">
        <v>558</v>
      </c>
      <c r="C1246" t="s">
        <v>559</v>
      </c>
      <c r="D1246" t="s">
        <v>328</v>
      </c>
      <c r="E1246" t="s">
        <v>329</v>
      </c>
      <c r="F1246" t="str">
        <f>IFERROR(INDEX(Aux!E:E,MATCH(Dados!E1246,Aux!D:D,0)),INDEX(Aux!K:K,MATCH(Dados!B1246,Aux!I:I,0)))</f>
        <v>Direita</v>
      </c>
      <c r="G1246" s="2">
        <v>0</v>
      </c>
      <c r="H1246" s="2">
        <v>69114</v>
      </c>
    </row>
    <row r="1247" spans="1:8" x14ac:dyDescent="0.3">
      <c r="A1247" t="s">
        <v>929</v>
      </c>
      <c r="B1247" t="s">
        <v>440</v>
      </c>
      <c r="C1247" t="s">
        <v>441</v>
      </c>
      <c r="D1247" t="s">
        <v>420</v>
      </c>
      <c r="E1247" t="s">
        <v>421</v>
      </c>
      <c r="F1247" t="str">
        <f>IFERROR(INDEX(Aux!E:E,MATCH(Dados!E1247,Aux!D:D,0)),INDEX(Aux!K:K,MATCH(Dados!B1247,Aux!I:I,0)))</f>
        <v>Centro</v>
      </c>
      <c r="G1247" s="2">
        <v>0</v>
      </c>
      <c r="H1247" s="2">
        <v>16215</v>
      </c>
    </row>
    <row r="1248" spans="1:8" x14ac:dyDescent="0.3">
      <c r="A1248" t="s">
        <v>929</v>
      </c>
      <c r="B1248" t="s">
        <v>388</v>
      </c>
      <c r="C1248" t="s">
        <v>389</v>
      </c>
      <c r="D1248" t="s">
        <v>420</v>
      </c>
      <c r="E1248" t="s">
        <v>421</v>
      </c>
      <c r="F1248" t="str">
        <f>IFERROR(INDEX(Aux!E:E,MATCH(Dados!E1248,Aux!D:D,0)),INDEX(Aux!K:K,MATCH(Dados!B1248,Aux!I:I,0)))</f>
        <v>Centro</v>
      </c>
      <c r="G1248" s="2">
        <v>0</v>
      </c>
      <c r="H1248" s="2">
        <v>54163</v>
      </c>
    </row>
    <row r="1249" spans="1:8" x14ac:dyDescent="0.3">
      <c r="A1249" t="s">
        <v>929</v>
      </c>
      <c r="B1249" t="s">
        <v>334</v>
      </c>
      <c r="C1249" t="s">
        <v>335</v>
      </c>
      <c r="D1249" t="s">
        <v>88</v>
      </c>
      <c r="E1249" t="s">
        <v>89</v>
      </c>
      <c r="F1249" t="str">
        <f>IFERROR(INDEX(Aux!E:E,MATCH(Dados!E1249,Aux!D:D,0)),INDEX(Aux!K:K,MATCH(Dados!B1249,Aux!I:I,0)))</f>
        <v>Centro esquerda</v>
      </c>
      <c r="G1249" s="2">
        <v>0</v>
      </c>
      <c r="H1249" s="2">
        <v>6290</v>
      </c>
    </row>
    <row r="1250" spans="1:8" x14ac:dyDescent="0.3">
      <c r="A1250" t="s">
        <v>929</v>
      </c>
      <c r="B1250" t="s">
        <v>4</v>
      </c>
      <c r="C1250" t="s">
        <v>5</v>
      </c>
      <c r="D1250" t="s">
        <v>88</v>
      </c>
      <c r="E1250" t="s">
        <v>89</v>
      </c>
      <c r="F1250" t="str">
        <f>IFERROR(INDEX(Aux!E:E,MATCH(Dados!E1250,Aux!D:D,0)),INDEX(Aux!K:K,MATCH(Dados!B1250,Aux!I:I,0)))</f>
        <v>Centro esquerda</v>
      </c>
      <c r="G1250" s="2">
        <v>0</v>
      </c>
      <c r="H1250" s="2">
        <v>134065</v>
      </c>
    </row>
    <row r="1251" spans="1:8" x14ac:dyDescent="0.3">
      <c r="A1251" t="s">
        <v>922</v>
      </c>
      <c r="B1251" t="s">
        <v>893</v>
      </c>
      <c r="C1251" t="s">
        <v>894</v>
      </c>
      <c r="D1251" t="s">
        <v>580</v>
      </c>
      <c r="E1251" t="s">
        <v>581</v>
      </c>
      <c r="F1251" t="str">
        <f>IFERROR(INDEX(Aux!E:E,MATCH(Dados!E1251,Aux!D:D,0)),INDEX(Aux!K:K,MATCH(Dados!B1251,Aux!I:I,0)))</f>
        <v>Indefinido</v>
      </c>
      <c r="G1251" s="2">
        <v>0</v>
      </c>
      <c r="H1251" s="2">
        <v>130147</v>
      </c>
    </row>
    <row r="1252" spans="1:8" x14ac:dyDescent="0.3">
      <c r="A1252" t="s">
        <v>922</v>
      </c>
      <c r="B1252" t="s">
        <v>282</v>
      </c>
      <c r="C1252" t="s">
        <v>283</v>
      </c>
      <c r="D1252" t="s">
        <v>330</v>
      </c>
      <c r="E1252" t="s">
        <v>331</v>
      </c>
      <c r="F1252" t="str">
        <f>IFERROR(INDEX(Aux!E:E,MATCH(Dados!E1252,Aux!D:D,0)),INDEX(Aux!K:K,MATCH(Dados!B1252,Aux!I:I,0)))</f>
        <v>Direita</v>
      </c>
      <c r="G1252" s="2">
        <v>0</v>
      </c>
      <c r="H1252" s="2">
        <v>3391</v>
      </c>
    </row>
    <row r="1253" spans="1:8" x14ac:dyDescent="0.3">
      <c r="A1253" t="s">
        <v>922</v>
      </c>
      <c r="B1253" t="s">
        <v>817</v>
      </c>
      <c r="C1253" t="s">
        <v>818</v>
      </c>
      <c r="D1253" t="s">
        <v>827</v>
      </c>
      <c r="E1253" t="s">
        <v>828</v>
      </c>
      <c r="F1253" t="str">
        <f>IFERROR(INDEX(Aux!E:E,MATCH(Dados!E1253,Aux!D:D,0)),INDEX(Aux!K:K,MATCH(Dados!B1253,Aux!I:I,0)))</f>
        <v>Centro esquerda</v>
      </c>
      <c r="G1253" s="2">
        <v>0</v>
      </c>
      <c r="H1253" s="2">
        <v>389510</v>
      </c>
    </row>
    <row r="1254" spans="1:8" x14ac:dyDescent="0.3">
      <c r="A1254" t="s">
        <v>922</v>
      </c>
      <c r="B1254" t="s">
        <v>787</v>
      </c>
      <c r="C1254" t="s">
        <v>788</v>
      </c>
      <c r="D1254" t="s">
        <v>159</v>
      </c>
      <c r="E1254" t="s">
        <v>160</v>
      </c>
      <c r="F1254" t="str">
        <f>IFERROR(INDEX(Aux!E:E,MATCH(Dados!E1254,Aux!D:D,0)),INDEX(Aux!K:K,MATCH(Dados!B1254,Aux!I:I,0)))</f>
        <v>Centro direita</v>
      </c>
      <c r="G1254" s="2">
        <v>0</v>
      </c>
      <c r="H1254" s="2">
        <v>3388</v>
      </c>
    </row>
    <row r="1255" spans="1:8" x14ac:dyDescent="0.3">
      <c r="A1255" t="s">
        <v>922</v>
      </c>
      <c r="B1255" t="s">
        <v>864</v>
      </c>
      <c r="C1255" t="s">
        <v>865</v>
      </c>
      <c r="D1255" t="s">
        <v>827</v>
      </c>
      <c r="E1255" t="s">
        <v>828</v>
      </c>
      <c r="F1255" t="str">
        <f>IFERROR(INDEX(Aux!E:E,MATCH(Dados!E1255,Aux!D:D,0)),INDEX(Aux!K:K,MATCH(Dados!B1255,Aux!I:I,0)))</f>
        <v>Centro esquerda</v>
      </c>
      <c r="G1255" s="2">
        <v>0</v>
      </c>
      <c r="H1255" s="2">
        <v>2793</v>
      </c>
    </row>
    <row r="1256" spans="1:8" x14ac:dyDescent="0.3">
      <c r="A1256" t="s">
        <v>922</v>
      </c>
      <c r="B1256" t="s">
        <v>866</v>
      </c>
      <c r="C1256" t="s">
        <v>867</v>
      </c>
      <c r="D1256" t="s">
        <v>412</v>
      </c>
      <c r="E1256" t="s">
        <v>413</v>
      </c>
      <c r="F1256" t="str">
        <f>IFERROR(INDEX(Aux!E:E,MATCH(Dados!E1256,Aux!D:D,0)),INDEX(Aux!K:K,MATCH(Dados!B1256,Aux!I:I,0)))</f>
        <v>Centro esquerda</v>
      </c>
      <c r="G1256" s="2">
        <v>0</v>
      </c>
      <c r="H1256" s="2">
        <v>23065</v>
      </c>
    </row>
    <row r="1257" spans="1:8" x14ac:dyDescent="0.3">
      <c r="A1257" t="s">
        <v>922</v>
      </c>
      <c r="B1257" t="s">
        <v>206</v>
      </c>
      <c r="C1257" t="s">
        <v>207</v>
      </c>
      <c r="D1257" t="s">
        <v>272</v>
      </c>
      <c r="E1257" t="s">
        <v>273</v>
      </c>
      <c r="F1257" t="str">
        <f>IFERROR(INDEX(Aux!E:E,MATCH(Dados!E1257,Aux!D:D,0)),INDEX(Aux!K:K,MATCH(Dados!B1257,Aux!I:I,0)))</f>
        <v>Centro direita</v>
      </c>
      <c r="G1257" s="2">
        <v>0</v>
      </c>
      <c r="H1257" s="2">
        <v>61408</v>
      </c>
    </row>
    <row r="1258" spans="1:8" x14ac:dyDescent="0.3">
      <c r="A1258" t="s">
        <v>922</v>
      </c>
      <c r="B1258" t="s">
        <v>756</v>
      </c>
      <c r="C1258" t="s">
        <v>757</v>
      </c>
      <c r="D1258" t="s">
        <v>464</v>
      </c>
      <c r="E1258" t="s">
        <v>465</v>
      </c>
      <c r="F1258" t="str">
        <f>IFERROR(INDEX(Aux!E:E,MATCH(Dados!E1258,Aux!D:D,0)),INDEX(Aux!K:K,MATCH(Dados!B1258,Aux!I:I,0)))</f>
        <v>Centro direita</v>
      </c>
      <c r="G1258" s="2">
        <v>0</v>
      </c>
      <c r="H1258" s="2">
        <v>579325</v>
      </c>
    </row>
    <row r="1259" spans="1:8" x14ac:dyDescent="0.3">
      <c r="A1259" t="s">
        <v>922</v>
      </c>
      <c r="B1259" t="s">
        <v>783</v>
      </c>
      <c r="C1259" t="s">
        <v>784</v>
      </c>
      <c r="D1259" t="s">
        <v>272</v>
      </c>
      <c r="E1259" t="s">
        <v>273</v>
      </c>
      <c r="F1259" t="str">
        <f>IFERROR(INDEX(Aux!E:E,MATCH(Dados!E1259,Aux!D:D,0)),INDEX(Aux!K:K,MATCH(Dados!B1259,Aux!I:I,0)))</f>
        <v>Centro direita</v>
      </c>
      <c r="G1259" s="2">
        <v>0</v>
      </c>
      <c r="H1259" s="2">
        <v>6149</v>
      </c>
    </row>
    <row r="1260" spans="1:8" x14ac:dyDescent="0.3">
      <c r="A1260" t="s">
        <v>922</v>
      </c>
      <c r="B1260" t="s">
        <v>770</v>
      </c>
      <c r="C1260" t="s">
        <v>771</v>
      </c>
      <c r="D1260" t="s">
        <v>159</v>
      </c>
      <c r="E1260" t="s">
        <v>160</v>
      </c>
      <c r="F1260" t="str">
        <f>IFERROR(INDEX(Aux!E:E,MATCH(Dados!E1260,Aux!D:D,0)),INDEX(Aux!K:K,MATCH(Dados!B1260,Aux!I:I,0)))</f>
        <v>Centro direita</v>
      </c>
      <c r="G1260" s="2">
        <v>0</v>
      </c>
      <c r="H1260" s="2">
        <v>99752</v>
      </c>
    </row>
    <row r="1261" spans="1:8" x14ac:dyDescent="0.3">
      <c r="A1261" t="s">
        <v>922</v>
      </c>
      <c r="B1261" t="s">
        <v>857</v>
      </c>
      <c r="C1261" t="s">
        <v>858</v>
      </c>
      <c r="D1261" t="s">
        <v>330</v>
      </c>
      <c r="E1261" t="s">
        <v>331</v>
      </c>
      <c r="F1261" t="str">
        <f>IFERROR(INDEX(Aux!E:E,MATCH(Dados!E1261,Aux!D:D,0)),INDEX(Aux!K:K,MATCH(Dados!B1261,Aux!I:I,0)))</f>
        <v>Direita</v>
      </c>
      <c r="G1261" s="2">
        <v>0</v>
      </c>
      <c r="H1261" s="2">
        <v>163522</v>
      </c>
    </row>
    <row r="1262" spans="1:8" x14ac:dyDescent="0.3">
      <c r="A1262" t="s">
        <v>922</v>
      </c>
      <c r="B1262" t="s">
        <v>716</v>
      </c>
      <c r="C1262" t="s">
        <v>717</v>
      </c>
      <c r="D1262" t="s">
        <v>100</v>
      </c>
      <c r="E1262" t="s">
        <v>716</v>
      </c>
      <c r="F1262" t="str">
        <f>IFERROR(INDEX(Aux!E:E,MATCH(Dados!E1262,Aux!D:D,0)),INDEX(Aux!K:K,MATCH(Dados!B1262,Aux!I:I,0)))</f>
        <v>Centro direita</v>
      </c>
      <c r="G1262" s="2">
        <v>0</v>
      </c>
      <c r="H1262" s="2">
        <v>190119</v>
      </c>
    </row>
    <row r="1263" spans="1:8" x14ac:dyDescent="0.3">
      <c r="A1263" t="s">
        <v>922</v>
      </c>
      <c r="B1263" t="s">
        <v>690</v>
      </c>
      <c r="C1263" t="s">
        <v>691</v>
      </c>
      <c r="D1263" t="s">
        <v>100</v>
      </c>
      <c r="E1263" t="s">
        <v>690</v>
      </c>
      <c r="F1263" t="str">
        <f>IFERROR(INDEX(Aux!E:E,MATCH(Dados!E1263,Aux!D:D,0)),INDEX(Aux!K:K,MATCH(Dados!B1263,Aux!I:I,0)))</f>
        <v>Centro</v>
      </c>
      <c r="G1263" s="2">
        <v>0</v>
      </c>
      <c r="H1263" s="2">
        <v>44203</v>
      </c>
    </row>
    <row r="1264" spans="1:8" x14ac:dyDescent="0.3">
      <c r="A1264" t="s">
        <v>922</v>
      </c>
      <c r="B1264" t="s">
        <v>664</v>
      </c>
      <c r="C1264" t="s">
        <v>665</v>
      </c>
      <c r="D1264" t="s">
        <v>412</v>
      </c>
      <c r="E1264" t="s">
        <v>413</v>
      </c>
      <c r="F1264" t="str">
        <f>IFERROR(INDEX(Aux!E:E,MATCH(Dados!E1264,Aux!D:D,0)),INDEX(Aux!K:K,MATCH(Dados!B1264,Aux!I:I,0)))</f>
        <v>Centro esquerda</v>
      </c>
      <c r="G1264" s="2">
        <v>0</v>
      </c>
      <c r="H1264" s="2">
        <v>2720</v>
      </c>
    </row>
    <row r="1265" spans="1:8" x14ac:dyDescent="0.3">
      <c r="A1265" t="s">
        <v>922</v>
      </c>
      <c r="B1265" t="s">
        <v>488</v>
      </c>
      <c r="C1265" t="s">
        <v>489</v>
      </c>
      <c r="D1265" t="s">
        <v>100</v>
      </c>
      <c r="E1265" t="s">
        <v>488</v>
      </c>
      <c r="F1265" t="str">
        <f>IFERROR(INDEX(Aux!E:E,MATCH(Dados!E1265,Aux!D:D,0)),INDEX(Aux!K:K,MATCH(Dados!B1265,Aux!I:I,0)))</f>
        <v>Esquerda</v>
      </c>
      <c r="G1265" s="2">
        <v>0</v>
      </c>
      <c r="H1265" s="2">
        <v>282218</v>
      </c>
    </row>
    <row r="1266" spans="1:8" x14ac:dyDescent="0.3">
      <c r="A1266" t="s">
        <v>922</v>
      </c>
      <c r="B1266" t="s">
        <v>641</v>
      </c>
      <c r="C1266" t="s">
        <v>642</v>
      </c>
      <c r="D1266" t="s">
        <v>412</v>
      </c>
      <c r="E1266" t="s">
        <v>413</v>
      </c>
      <c r="F1266" t="str">
        <f>IFERROR(INDEX(Aux!E:E,MATCH(Dados!E1266,Aux!D:D,0)),INDEX(Aux!K:K,MATCH(Dados!B1266,Aux!I:I,0)))</f>
        <v>Centro esquerda</v>
      </c>
      <c r="G1266" s="2">
        <v>0</v>
      </c>
      <c r="H1266" s="2">
        <v>42383</v>
      </c>
    </row>
    <row r="1267" spans="1:8" x14ac:dyDescent="0.3">
      <c r="A1267" t="s">
        <v>922</v>
      </c>
      <c r="B1267" t="s">
        <v>599</v>
      </c>
      <c r="C1267" t="s">
        <v>600</v>
      </c>
      <c r="D1267" t="s">
        <v>330</v>
      </c>
      <c r="E1267" t="s">
        <v>331</v>
      </c>
      <c r="F1267" t="str">
        <f>IFERROR(INDEX(Aux!E:E,MATCH(Dados!E1267,Aux!D:D,0)),INDEX(Aux!K:K,MATCH(Dados!B1267,Aux!I:I,0)))</f>
        <v>Direita</v>
      </c>
      <c r="G1267" s="2">
        <v>0</v>
      </c>
      <c r="H1267" s="2">
        <v>127259</v>
      </c>
    </row>
    <row r="1268" spans="1:8" x14ac:dyDescent="0.3">
      <c r="A1268" t="s">
        <v>922</v>
      </c>
      <c r="B1268" t="s">
        <v>831</v>
      </c>
      <c r="C1268" t="s">
        <v>832</v>
      </c>
      <c r="D1268" t="s">
        <v>159</v>
      </c>
      <c r="E1268" t="s">
        <v>160</v>
      </c>
      <c r="F1268" t="str">
        <f>IFERROR(INDEX(Aux!E:E,MATCH(Dados!E1268,Aux!D:D,0)),INDEX(Aux!K:K,MATCH(Dados!B1268,Aux!I:I,0)))</f>
        <v>Centro direita</v>
      </c>
      <c r="G1268" s="2">
        <v>0</v>
      </c>
      <c r="H1268" s="2">
        <v>285958</v>
      </c>
    </row>
    <row r="1269" spans="1:8" x14ac:dyDescent="0.3">
      <c r="A1269" t="s">
        <v>922</v>
      </c>
      <c r="B1269" t="s">
        <v>558</v>
      </c>
      <c r="C1269" t="s">
        <v>559</v>
      </c>
      <c r="D1269" t="s">
        <v>580</v>
      </c>
      <c r="E1269" t="s">
        <v>581</v>
      </c>
      <c r="F1269" t="str">
        <f>IFERROR(INDEX(Aux!E:E,MATCH(Dados!E1269,Aux!D:D,0)),INDEX(Aux!K:K,MATCH(Dados!B1269,Aux!I:I,0)))</f>
        <v>Indefinido</v>
      </c>
      <c r="G1269" s="2">
        <v>0</v>
      </c>
      <c r="H1269" s="2">
        <v>392490</v>
      </c>
    </row>
    <row r="1270" spans="1:8" x14ac:dyDescent="0.3">
      <c r="A1270" t="s">
        <v>922</v>
      </c>
      <c r="B1270" t="s">
        <v>440</v>
      </c>
      <c r="C1270" t="s">
        <v>441</v>
      </c>
      <c r="D1270" t="s">
        <v>464</v>
      </c>
      <c r="E1270" t="s">
        <v>465</v>
      </c>
      <c r="F1270" t="str">
        <f>IFERROR(INDEX(Aux!E:E,MATCH(Dados!E1270,Aux!D:D,0)),INDEX(Aux!K:K,MATCH(Dados!B1270,Aux!I:I,0)))</f>
        <v>Centro direita</v>
      </c>
      <c r="G1270" s="2">
        <v>0</v>
      </c>
      <c r="H1270" s="2">
        <v>403890</v>
      </c>
    </row>
    <row r="1271" spans="1:8" x14ac:dyDescent="0.3">
      <c r="A1271" t="s">
        <v>922</v>
      </c>
      <c r="B1271" t="s">
        <v>388</v>
      </c>
      <c r="C1271" t="s">
        <v>389</v>
      </c>
      <c r="D1271" t="s">
        <v>412</v>
      </c>
      <c r="E1271" t="s">
        <v>413</v>
      </c>
      <c r="F1271" t="str">
        <f>IFERROR(INDEX(Aux!E:E,MATCH(Dados!E1271,Aux!D:D,0)),INDEX(Aux!K:K,MATCH(Dados!B1271,Aux!I:I,0)))</f>
        <v>Centro esquerda</v>
      </c>
      <c r="G1271" s="2">
        <v>0</v>
      </c>
      <c r="H1271" s="2">
        <v>2196</v>
      </c>
    </row>
    <row r="1272" spans="1:8" x14ac:dyDescent="0.3">
      <c r="A1272" t="s">
        <v>922</v>
      </c>
      <c r="B1272" t="s">
        <v>334</v>
      </c>
      <c r="C1272" t="s">
        <v>335</v>
      </c>
      <c r="D1272" t="s">
        <v>272</v>
      </c>
      <c r="E1272" t="s">
        <v>273</v>
      </c>
      <c r="F1272" t="str">
        <f>IFERROR(INDEX(Aux!E:E,MATCH(Dados!E1272,Aux!D:D,0)),INDEX(Aux!K:K,MATCH(Dados!B1272,Aux!I:I,0)))</f>
        <v>Centro direita</v>
      </c>
      <c r="G1272" s="2">
        <v>0</v>
      </c>
      <c r="H1272" s="2">
        <v>56013</v>
      </c>
    </row>
    <row r="1273" spans="1:8" x14ac:dyDescent="0.3">
      <c r="A1273" t="s">
        <v>922</v>
      </c>
      <c r="B1273" t="s">
        <v>135</v>
      </c>
      <c r="C1273" t="s">
        <v>136</v>
      </c>
      <c r="D1273" t="s">
        <v>159</v>
      </c>
      <c r="E1273" t="s">
        <v>160</v>
      </c>
      <c r="F1273" t="str">
        <f>IFERROR(INDEX(Aux!E:E,MATCH(Dados!E1273,Aux!D:D,0)),INDEX(Aux!K:K,MATCH(Dados!B1273,Aux!I:I,0)))</f>
        <v>Centro direita</v>
      </c>
      <c r="G1273" s="2">
        <v>0</v>
      </c>
      <c r="H1273" s="2">
        <v>55174</v>
      </c>
    </row>
    <row r="1274" spans="1:8" x14ac:dyDescent="0.3">
      <c r="A1274" t="s">
        <v>922</v>
      </c>
      <c r="B1274" t="s">
        <v>4</v>
      </c>
      <c r="C1274" t="s">
        <v>5</v>
      </c>
      <c r="D1274" t="s">
        <v>100</v>
      </c>
      <c r="E1274" t="s">
        <v>4</v>
      </c>
      <c r="F1274" t="str">
        <f>IFERROR(INDEX(Aux!E:E,MATCH(Dados!E1274,Aux!D:D,0)),INDEX(Aux!K:K,MATCH(Dados!B1274,Aux!I:I,0)))</f>
        <v>Esquerda</v>
      </c>
      <c r="G1274" s="2">
        <v>0</v>
      </c>
      <c r="H1274" s="2">
        <v>131523</v>
      </c>
    </row>
    <row r="1275" spans="1:8" x14ac:dyDescent="0.3">
      <c r="A1275" t="s">
        <v>937</v>
      </c>
      <c r="B1275" t="s">
        <v>899</v>
      </c>
      <c r="C1275" t="s">
        <v>900</v>
      </c>
      <c r="D1275" t="s">
        <v>422</v>
      </c>
      <c r="E1275" t="s">
        <v>423</v>
      </c>
      <c r="F1275" t="str">
        <f>IFERROR(INDEX(Aux!E:E,MATCH(Dados!E1275,Aux!D:D,0)),INDEX(Aux!K:K,MATCH(Dados!B1275,Aux!I:I,0)))</f>
        <v>Direita</v>
      </c>
      <c r="G1275" s="2">
        <v>0</v>
      </c>
      <c r="H1275" s="2">
        <v>3607</v>
      </c>
    </row>
    <row r="1276" spans="1:8" x14ac:dyDescent="0.3">
      <c r="A1276" t="s">
        <v>937</v>
      </c>
      <c r="B1276" t="s">
        <v>893</v>
      </c>
      <c r="C1276" t="s">
        <v>894</v>
      </c>
      <c r="D1276" t="s">
        <v>627</v>
      </c>
      <c r="E1276" t="s">
        <v>628</v>
      </c>
      <c r="F1276" t="str">
        <f>IFERROR(INDEX(Aux!E:E,MATCH(Dados!E1276,Aux!D:D,0)),INDEX(Aux!K:K,MATCH(Dados!B1276,Aux!I:I,0)))</f>
        <v>Indefinido</v>
      </c>
      <c r="G1276" s="2">
        <v>0</v>
      </c>
      <c r="H1276" s="2">
        <v>30606</v>
      </c>
    </row>
    <row r="1277" spans="1:8" x14ac:dyDescent="0.3">
      <c r="A1277" t="s">
        <v>937</v>
      </c>
      <c r="B1277" t="s">
        <v>875</v>
      </c>
      <c r="C1277" t="s">
        <v>876</v>
      </c>
      <c r="D1277" t="s">
        <v>369</v>
      </c>
      <c r="E1277" t="s">
        <v>370</v>
      </c>
      <c r="F1277" t="str">
        <f>IFERROR(INDEX(Aux!E:E,MATCH(Dados!E1277,Aux!D:D,0)),INDEX(Aux!K:K,MATCH(Dados!B1277,Aux!I:I,0)))</f>
        <v>Centro</v>
      </c>
      <c r="G1277" s="2">
        <v>0</v>
      </c>
      <c r="H1277" s="2">
        <v>78777</v>
      </c>
    </row>
    <row r="1278" spans="1:8" x14ac:dyDescent="0.3">
      <c r="A1278" t="s">
        <v>937</v>
      </c>
      <c r="B1278" t="s">
        <v>282</v>
      </c>
      <c r="C1278" t="s">
        <v>283</v>
      </c>
      <c r="D1278" t="s">
        <v>318</v>
      </c>
      <c r="E1278" t="s">
        <v>319</v>
      </c>
      <c r="F1278" t="str">
        <f>IFERROR(INDEX(Aux!E:E,MATCH(Dados!E1278,Aux!D:D,0)),INDEX(Aux!K:K,MATCH(Dados!B1278,Aux!I:I,0)))</f>
        <v>Direita</v>
      </c>
      <c r="G1278" s="2">
        <v>0</v>
      </c>
      <c r="H1278" s="2">
        <v>26498</v>
      </c>
    </row>
    <row r="1279" spans="1:8" x14ac:dyDescent="0.3">
      <c r="A1279" t="s">
        <v>937</v>
      </c>
      <c r="B1279" t="s">
        <v>871</v>
      </c>
      <c r="C1279" t="s">
        <v>872</v>
      </c>
      <c r="D1279" t="s">
        <v>657</v>
      </c>
      <c r="E1279" t="s">
        <v>658</v>
      </c>
      <c r="F1279" t="str">
        <f>IFERROR(INDEX(Aux!E:E,MATCH(Dados!E1279,Aux!D:D,0)),INDEX(Aux!K:K,MATCH(Dados!B1279,Aux!I:I,0)))</f>
        <v>Esquerda</v>
      </c>
      <c r="G1279" s="2">
        <v>0</v>
      </c>
      <c r="H1279" s="2">
        <v>7489</v>
      </c>
    </row>
    <row r="1280" spans="1:8" x14ac:dyDescent="0.3">
      <c r="A1280" t="s">
        <v>937</v>
      </c>
      <c r="B1280" t="s">
        <v>817</v>
      </c>
      <c r="C1280" t="s">
        <v>818</v>
      </c>
      <c r="D1280" t="s">
        <v>825</v>
      </c>
      <c r="E1280" t="s">
        <v>817</v>
      </c>
      <c r="F1280" t="str">
        <f>IFERROR(INDEX(Aux!E:E,MATCH(Dados!E1280,Aux!D:D,0)),INDEX(Aux!K:K,MATCH(Dados!B1280,Aux!I:I,0)))</f>
        <v>Centro esquerda</v>
      </c>
      <c r="G1280" s="2">
        <v>0</v>
      </c>
      <c r="H1280" s="2">
        <v>25918</v>
      </c>
    </row>
    <row r="1281" spans="1:8" x14ac:dyDescent="0.3">
      <c r="A1281" t="s">
        <v>937</v>
      </c>
      <c r="B1281" t="s">
        <v>787</v>
      </c>
      <c r="C1281" t="s">
        <v>788</v>
      </c>
      <c r="D1281" t="s">
        <v>707</v>
      </c>
      <c r="E1281" t="s">
        <v>708</v>
      </c>
      <c r="F1281" t="str">
        <f>IFERROR(INDEX(Aux!E:E,MATCH(Dados!E1281,Aux!D:D,0)),INDEX(Aux!K:K,MATCH(Dados!B1281,Aux!I:I,0)))</f>
        <v>Centro direita</v>
      </c>
      <c r="G1281" s="2">
        <v>0</v>
      </c>
      <c r="H1281" s="2">
        <v>23784</v>
      </c>
    </row>
    <row r="1282" spans="1:8" x14ac:dyDescent="0.3">
      <c r="A1282" t="s">
        <v>937</v>
      </c>
      <c r="B1282" t="s">
        <v>866</v>
      </c>
      <c r="C1282" t="s">
        <v>867</v>
      </c>
      <c r="D1282" t="s">
        <v>657</v>
      </c>
      <c r="E1282" t="s">
        <v>658</v>
      </c>
      <c r="F1282" t="str">
        <f>IFERROR(INDEX(Aux!E:E,MATCH(Dados!E1282,Aux!D:D,0)),INDEX(Aux!K:K,MATCH(Dados!B1282,Aux!I:I,0)))</f>
        <v>Esquerda</v>
      </c>
      <c r="G1282" s="2">
        <v>0</v>
      </c>
      <c r="H1282" s="2">
        <v>26114</v>
      </c>
    </row>
    <row r="1283" spans="1:8" x14ac:dyDescent="0.3">
      <c r="A1283" t="s">
        <v>937</v>
      </c>
      <c r="B1283" t="s">
        <v>206</v>
      </c>
      <c r="C1283" t="s">
        <v>207</v>
      </c>
      <c r="D1283" t="s">
        <v>100</v>
      </c>
      <c r="E1283" t="s">
        <v>206</v>
      </c>
      <c r="F1283" t="str">
        <f>IFERROR(INDEX(Aux!E:E,MATCH(Dados!E1283,Aux!D:D,0)),INDEX(Aux!K:K,MATCH(Dados!B1283,Aux!I:I,0)))</f>
        <v>Centro direita</v>
      </c>
      <c r="G1283" s="2">
        <v>0</v>
      </c>
      <c r="H1283" s="2">
        <v>79726</v>
      </c>
    </row>
    <row r="1284" spans="1:8" x14ac:dyDescent="0.3">
      <c r="A1284" t="s">
        <v>937</v>
      </c>
      <c r="B1284" t="s">
        <v>756</v>
      </c>
      <c r="C1284" t="s">
        <v>757</v>
      </c>
      <c r="D1284" t="s">
        <v>72</v>
      </c>
      <c r="E1284" t="s">
        <v>73</v>
      </c>
      <c r="F1284" t="str">
        <f>IFERROR(INDEX(Aux!E:E,MATCH(Dados!E1284,Aux!D:D,0)),INDEX(Aux!K:K,MATCH(Dados!B1284,Aux!I:I,0)))</f>
        <v>Centro direita</v>
      </c>
      <c r="G1284" s="2">
        <v>0</v>
      </c>
      <c r="H1284" s="2">
        <v>32256</v>
      </c>
    </row>
    <row r="1285" spans="1:8" x14ac:dyDescent="0.3">
      <c r="A1285" t="s">
        <v>937</v>
      </c>
      <c r="B1285" t="s">
        <v>770</v>
      </c>
      <c r="C1285" t="s">
        <v>771</v>
      </c>
      <c r="D1285" t="s">
        <v>177</v>
      </c>
      <c r="E1285" t="s">
        <v>168</v>
      </c>
      <c r="F1285" t="str">
        <f>IFERROR(INDEX(Aux!E:E,MATCH(Dados!E1285,Aux!D:D,0)),INDEX(Aux!K:K,MATCH(Dados!B1285,Aux!I:I,0)))</f>
        <v>Esquerda</v>
      </c>
      <c r="G1285" s="2">
        <v>0</v>
      </c>
      <c r="H1285" s="2">
        <v>3457</v>
      </c>
    </row>
    <row r="1286" spans="1:8" x14ac:dyDescent="0.3">
      <c r="A1286" t="s">
        <v>937</v>
      </c>
      <c r="B1286" t="s">
        <v>857</v>
      </c>
      <c r="C1286" t="s">
        <v>858</v>
      </c>
      <c r="D1286" t="s">
        <v>72</v>
      </c>
      <c r="E1286" t="s">
        <v>73</v>
      </c>
      <c r="F1286" t="str">
        <f>IFERROR(INDEX(Aux!E:E,MATCH(Dados!E1286,Aux!D:D,0)),INDEX(Aux!K:K,MATCH(Dados!B1286,Aux!I:I,0)))</f>
        <v>Centro direita</v>
      </c>
      <c r="G1286" s="2">
        <v>0</v>
      </c>
      <c r="H1286" s="2">
        <v>13828</v>
      </c>
    </row>
    <row r="1287" spans="1:8" x14ac:dyDescent="0.3">
      <c r="A1287" t="s">
        <v>937</v>
      </c>
      <c r="B1287" t="s">
        <v>716</v>
      </c>
      <c r="C1287" t="s">
        <v>717</v>
      </c>
      <c r="D1287" t="s">
        <v>318</v>
      </c>
      <c r="E1287" t="s">
        <v>319</v>
      </c>
      <c r="F1287" t="str">
        <f>IFERROR(INDEX(Aux!E:E,MATCH(Dados!E1287,Aux!D:D,0)),INDEX(Aux!K:K,MATCH(Dados!B1287,Aux!I:I,0)))</f>
        <v>Direita</v>
      </c>
      <c r="G1287" s="2">
        <v>0</v>
      </c>
      <c r="H1287" s="2">
        <v>68462</v>
      </c>
    </row>
    <row r="1288" spans="1:8" x14ac:dyDescent="0.3">
      <c r="A1288" t="s">
        <v>937</v>
      </c>
      <c r="B1288" t="s">
        <v>690</v>
      </c>
      <c r="C1288" t="s">
        <v>691</v>
      </c>
      <c r="D1288" t="s">
        <v>707</v>
      </c>
      <c r="E1288" t="s">
        <v>708</v>
      </c>
      <c r="F1288" t="str">
        <f>IFERROR(INDEX(Aux!E:E,MATCH(Dados!E1288,Aux!D:D,0)),INDEX(Aux!K:K,MATCH(Dados!B1288,Aux!I:I,0)))</f>
        <v>Centro direita</v>
      </c>
      <c r="G1288" s="2">
        <v>0</v>
      </c>
      <c r="H1288" s="2">
        <v>13815</v>
      </c>
    </row>
    <row r="1289" spans="1:8" x14ac:dyDescent="0.3">
      <c r="A1289" t="s">
        <v>937</v>
      </c>
      <c r="B1289" t="s">
        <v>664</v>
      </c>
      <c r="C1289" t="s">
        <v>665</v>
      </c>
      <c r="D1289" t="s">
        <v>177</v>
      </c>
      <c r="E1289" t="s">
        <v>168</v>
      </c>
      <c r="F1289" t="str">
        <f>IFERROR(INDEX(Aux!E:E,MATCH(Dados!E1289,Aux!D:D,0)),INDEX(Aux!K:K,MATCH(Dados!B1289,Aux!I:I,0)))</f>
        <v>Esquerda</v>
      </c>
      <c r="G1289" s="2">
        <v>0</v>
      </c>
      <c r="H1289" s="2">
        <v>13472</v>
      </c>
    </row>
    <row r="1290" spans="1:8" x14ac:dyDescent="0.3">
      <c r="A1290" t="s">
        <v>937</v>
      </c>
      <c r="B1290" t="s">
        <v>488</v>
      </c>
      <c r="C1290" t="s">
        <v>489</v>
      </c>
      <c r="D1290" t="s">
        <v>100</v>
      </c>
      <c r="E1290" t="s">
        <v>488</v>
      </c>
      <c r="F1290" t="str">
        <f>IFERROR(INDEX(Aux!E:E,MATCH(Dados!E1290,Aux!D:D,0)),INDEX(Aux!K:K,MATCH(Dados!B1290,Aux!I:I,0)))</f>
        <v>Esquerda</v>
      </c>
      <c r="G1290" s="2">
        <v>0</v>
      </c>
      <c r="H1290" s="2">
        <v>57338</v>
      </c>
    </row>
    <row r="1291" spans="1:8" x14ac:dyDescent="0.3">
      <c r="A1291" t="s">
        <v>937</v>
      </c>
      <c r="B1291" t="s">
        <v>641</v>
      </c>
      <c r="C1291" t="s">
        <v>642</v>
      </c>
      <c r="D1291" t="s">
        <v>657</v>
      </c>
      <c r="E1291" t="s">
        <v>658</v>
      </c>
      <c r="F1291" t="str">
        <f>IFERROR(INDEX(Aux!E:E,MATCH(Dados!E1291,Aux!D:D,0)),INDEX(Aux!K:K,MATCH(Dados!B1291,Aux!I:I,0)))</f>
        <v>Esquerda</v>
      </c>
      <c r="G1291" s="2">
        <v>0</v>
      </c>
      <c r="H1291" s="2">
        <v>19402</v>
      </c>
    </row>
    <row r="1292" spans="1:8" x14ac:dyDescent="0.3">
      <c r="A1292" t="s">
        <v>937</v>
      </c>
      <c r="B1292" t="s">
        <v>599</v>
      </c>
      <c r="C1292" t="s">
        <v>600</v>
      </c>
      <c r="D1292" t="s">
        <v>627</v>
      </c>
      <c r="E1292" t="s">
        <v>628</v>
      </c>
      <c r="F1292" t="str">
        <f>IFERROR(INDEX(Aux!E:E,MATCH(Dados!E1292,Aux!D:D,0)),INDEX(Aux!K:K,MATCH(Dados!B1292,Aux!I:I,0)))</f>
        <v>Indefinido</v>
      </c>
      <c r="G1292" s="2">
        <v>0</v>
      </c>
      <c r="H1292" s="2">
        <v>28958</v>
      </c>
    </row>
    <row r="1293" spans="1:8" x14ac:dyDescent="0.3">
      <c r="A1293" t="s">
        <v>937</v>
      </c>
      <c r="B1293" t="s">
        <v>831</v>
      </c>
      <c r="C1293" t="s">
        <v>832</v>
      </c>
      <c r="D1293" t="s">
        <v>627</v>
      </c>
      <c r="E1293" t="s">
        <v>628</v>
      </c>
      <c r="F1293" t="str">
        <f>IFERROR(INDEX(Aux!E:E,MATCH(Dados!E1293,Aux!D:D,0)),INDEX(Aux!K:K,MATCH(Dados!B1293,Aux!I:I,0)))</f>
        <v>Indefinido</v>
      </c>
      <c r="G1293" s="2">
        <v>0</v>
      </c>
      <c r="H1293" s="2">
        <v>25408</v>
      </c>
    </row>
    <row r="1294" spans="1:8" x14ac:dyDescent="0.3">
      <c r="A1294" t="s">
        <v>937</v>
      </c>
      <c r="B1294" t="s">
        <v>440</v>
      </c>
      <c r="C1294" t="s">
        <v>441</v>
      </c>
      <c r="D1294" t="s">
        <v>72</v>
      </c>
      <c r="E1294" t="s">
        <v>73</v>
      </c>
      <c r="F1294" t="str">
        <f>IFERROR(INDEX(Aux!E:E,MATCH(Dados!E1294,Aux!D:D,0)),INDEX(Aux!K:K,MATCH(Dados!B1294,Aux!I:I,0)))</f>
        <v>Centro direita</v>
      </c>
      <c r="G1294" s="2">
        <v>0</v>
      </c>
      <c r="H1294" s="2">
        <v>33012</v>
      </c>
    </row>
    <row r="1295" spans="1:8" x14ac:dyDescent="0.3">
      <c r="A1295" t="s">
        <v>937</v>
      </c>
      <c r="B1295" t="s">
        <v>388</v>
      </c>
      <c r="C1295" t="s">
        <v>389</v>
      </c>
      <c r="D1295" t="s">
        <v>422</v>
      </c>
      <c r="E1295" t="s">
        <v>423</v>
      </c>
      <c r="F1295" t="str">
        <f>IFERROR(INDEX(Aux!E:E,MATCH(Dados!E1295,Aux!D:D,0)),INDEX(Aux!K:K,MATCH(Dados!B1295,Aux!I:I,0)))</f>
        <v>Direita</v>
      </c>
      <c r="G1295" s="2">
        <v>0</v>
      </c>
      <c r="H1295" s="2">
        <v>40020</v>
      </c>
    </row>
    <row r="1296" spans="1:8" x14ac:dyDescent="0.3">
      <c r="A1296" t="s">
        <v>937</v>
      </c>
      <c r="B1296" t="s">
        <v>334</v>
      </c>
      <c r="C1296" t="s">
        <v>335</v>
      </c>
      <c r="D1296" t="s">
        <v>369</v>
      </c>
      <c r="E1296" t="s">
        <v>370</v>
      </c>
      <c r="F1296" t="str">
        <f>IFERROR(INDEX(Aux!E:E,MATCH(Dados!E1296,Aux!D:D,0)),INDEX(Aux!K:K,MATCH(Dados!B1296,Aux!I:I,0)))</f>
        <v>Centro</v>
      </c>
      <c r="G1296" s="2">
        <v>0</v>
      </c>
      <c r="H1296" s="2">
        <v>20204</v>
      </c>
    </row>
    <row r="1297" spans="1:8" x14ac:dyDescent="0.3">
      <c r="A1297" t="s">
        <v>937</v>
      </c>
      <c r="B1297" t="s">
        <v>135</v>
      </c>
      <c r="C1297" t="s">
        <v>136</v>
      </c>
      <c r="D1297" t="s">
        <v>177</v>
      </c>
      <c r="E1297" t="s">
        <v>168</v>
      </c>
      <c r="F1297" t="str">
        <f>IFERROR(INDEX(Aux!E:E,MATCH(Dados!E1297,Aux!D:D,0)),INDEX(Aux!K:K,MATCH(Dados!B1297,Aux!I:I,0)))</f>
        <v>Esquerda</v>
      </c>
      <c r="G1297" s="2">
        <v>0</v>
      </c>
      <c r="H1297" s="2">
        <v>4579</v>
      </c>
    </row>
    <row r="1298" spans="1:8" x14ac:dyDescent="0.3">
      <c r="A1298" t="s">
        <v>937</v>
      </c>
      <c r="B1298" t="s">
        <v>4</v>
      </c>
      <c r="C1298" t="s">
        <v>5</v>
      </c>
      <c r="D1298" t="s">
        <v>72</v>
      </c>
      <c r="E1298" t="s">
        <v>73</v>
      </c>
      <c r="F1298" t="str">
        <f>IFERROR(INDEX(Aux!E:E,MATCH(Dados!E1298,Aux!D:D,0)),INDEX(Aux!K:K,MATCH(Dados!B1298,Aux!I:I,0)))</f>
        <v>Centro direita</v>
      </c>
      <c r="G1298" s="2">
        <v>0</v>
      </c>
      <c r="H1298" s="2">
        <v>10395</v>
      </c>
    </row>
    <row r="1299" spans="1:8" x14ac:dyDescent="0.3">
      <c r="A1299" t="s">
        <v>940</v>
      </c>
      <c r="B1299" t="s">
        <v>902</v>
      </c>
      <c r="C1299" t="s">
        <v>902</v>
      </c>
      <c r="D1299" t="s">
        <v>509</v>
      </c>
      <c r="E1299" t="s">
        <v>510</v>
      </c>
      <c r="F1299" t="str">
        <f>IFERROR(INDEX(Aux!E:E,MATCH(Dados!E1299,Aux!D:D,0)),INDEX(Aux!K:K,MATCH(Dados!B1299,Aux!I:I,0)))</f>
        <v>Centro</v>
      </c>
      <c r="G1299" s="2">
        <v>0</v>
      </c>
      <c r="H1299" s="2">
        <v>822</v>
      </c>
    </row>
    <row r="1300" spans="1:8" x14ac:dyDescent="0.3">
      <c r="A1300" t="s">
        <v>940</v>
      </c>
      <c r="B1300" t="s">
        <v>899</v>
      </c>
      <c r="C1300" t="s">
        <v>900</v>
      </c>
      <c r="D1300" t="s">
        <v>82</v>
      </c>
      <c r="E1300" t="s">
        <v>83</v>
      </c>
      <c r="F1300" t="str">
        <f>IFERROR(INDEX(Aux!E:E,MATCH(Dados!E1300,Aux!D:D,0)),INDEX(Aux!K:K,MATCH(Dados!B1300,Aux!I:I,0)))</f>
        <v>Direita</v>
      </c>
      <c r="G1300" s="2">
        <v>0</v>
      </c>
      <c r="H1300" s="2">
        <v>4249</v>
      </c>
    </row>
    <row r="1301" spans="1:8" x14ac:dyDescent="0.3">
      <c r="A1301" t="s">
        <v>940</v>
      </c>
      <c r="B1301" t="s">
        <v>893</v>
      </c>
      <c r="C1301" t="s">
        <v>894</v>
      </c>
      <c r="D1301" t="s">
        <v>772</v>
      </c>
      <c r="E1301" t="s">
        <v>773</v>
      </c>
      <c r="F1301" t="str">
        <f>IFERROR(INDEX(Aux!E:E,MATCH(Dados!E1301,Aux!D:D,0)),INDEX(Aux!K:K,MATCH(Dados!B1301,Aux!I:I,0)))</f>
        <v>Indefinido</v>
      </c>
      <c r="G1301" s="2">
        <v>0</v>
      </c>
      <c r="H1301" s="2">
        <v>1055</v>
      </c>
    </row>
    <row r="1302" spans="1:8" x14ac:dyDescent="0.3">
      <c r="A1302" t="s">
        <v>940</v>
      </c>
      <c r="B1302" t="s">
        <v>875</v>
      </c>
      <c r="C1302" t="s">
        <v>876</v>
      </c>
      <c r="D1302" t="s">
        <v>100</v>
      </c>
      <c r="E1302" t="s">
        <v>875</v>
      </c>
      <c r="F1302" t="str">
        <f>IFERROR(INDEX(Aux!E:E,MATCH(Dados!E1302,Aux!D:D,0)),INDEX(Aux!K:K,MATCH(Dados!B1302,Aux!I:I,0)))</f>
        <v>Centro</v>
      </c>
      <c r="G1302" s="2">
        <v>0</v>
      </c>
      <c r="H1302" s="2">
        <v>16859</v>
      </c>
    </row>
    <row r="1303" spans="1:8" x14ac:dyDescent="0.3">
      <c r="A1303" t="s">
        <v>940</v>
      </c>
      <c r="B1303" t="s">
        <v>282</v>
      </c>
      <c r="C1303" t="s">
        <v>283</v>
      </c>
      <c r="D1303" t="s">
        <v>308</v>
      </c>
      <c r="E1303" t="s">
        <v>307</v>
      </c>
      <c r="F1303" t="str">
        <f>IFERROR(INDEX(Aux!E:E,MATCH(Dados!E1303,Aux!D:D,0)),INDEX(Aux!K:K,MATCH(Dados!B1303,Aux!I:I,0)))</f>
        <v>Direita</v>
      </c>
      <c r="G1303" s="2">
        <v>0</v>
      </c>
      <c r="H1303" s="2">
        <v>9110</v>
      </c>
    </row>
    <row r="1304" spans="1:8" x14ac:dyDescent="0.3">
      <c r="A1304" t="s">
        <v>940</v>
      </c>
      <c r="B1304" t="s">
        <v>871</v>
      </c>
      <c r="C1304" t="s">
        <v>872</v>
      </c>
      <c r="D1304" t="s">
        <v>768</v>
      </c>
      <c r="E1304" t="s">
        <v>769</v>
      </c>
      <c r="F1304" t="str">
        <f>IFERROR(INDEX(Aux!E:E,MATCH(Dados!E1304,Aux!D:D,0)),INDEX(Aux!K:K,MATCH(Dados!B1304,Aux!I:I,0)))</f>
        <v>Esquerda</v>
      </c>
      <c r="G1304" s="2">
        <v>0</v>
      </c>
      <c r="H1304" s="2">
        <v>6581</v>
      </c>
    </row>
    <row r="1305" spans="1:8" x14ac:dyDescent="0.3">
      <c r="A1305" t="s">
        <v>940</v>
      </c>
      <c r="B1305" t="s">
        <v>817</v>
      </c>
      <c r="C1305" t="s">
        <v>818</v>
      </c>
      <c r="D1305" t="s">
        <v>768</v>
      </c>
      <c r="E1305" t="s">
        <v>769</v>
      </c>
      <c r="F1305" t="str">
        <f>IFERROR(INDEX(Aux!E:E,MATCH(Dados!E1305,Aux!D:D,0)),INDEX(Aux!K:K,MATCH(Dados!B1305,Aux!I:I,0)))</f>
        <v>Esquerda</v>
      </c>
      <c r="G1305" s="2">
        <v>0</v>
      </c>
      <c r="H1305" s="2">
        <v>171</v>
      </c>
    </row>
    <row r="1306" spans="1:8" x14ac:dyDescent="0.3">
      <c r="A1306" t="s">
        <v>940</v>
      </c>
      <c r="B1306" t="s">
        <v>787</v>
      </c>
      <c r="C1306" t="s">
        <v>788</v>
      </c>
      <c r="D1306" t="s">
        <v>245</v>
      </c>
      <c r="E1306" t="s">
        <v>246</v>
      </c>
      <c r="F1306" t="str">
        <f>IFERROR(INDEX(Aux!E:E,MATCH(Dados!E1306,Aux!D:D,0)),INDEX(Aux!K:K,MATCH(Dados!B1306,Aux!I:I,0)))</f>
        <v>Centro direita</v>
      </c>
      <c r="G1306" s="2">
        <v>0</v>
      </c>
      <c r="H1306" s="2">
        <v>1691</v>
      </c>
    </row>
    <row r="1307" spans="1:8" x14ac:dyDescent="0.3">
      <c r="A1307" t="s">
        <v>940</v>
      </c>
      <c r="B1307" t="s">
        <v>864</v>
      </c>
      <c r="C1307" t="s">
        <v>865</v>
      </c>
      <c r="D1307" t="s">
        <v>100</v>
      </c>
      <c r="E1307" t="s">
        <v>864</v>
      </c>
      <c r="F1307" t="str">
        <f>IFERROR(INDEX(Aux!E:E,MATCH(Dados!E1307,Aux!D:D,0)),INDEX(Aux!K:K,MATCH(Dados!B1307,Aux!I:I,0)))</f>
        <v>Centro</v>
      </c>
      <c r="G1307" s="2">
        <v>0</v>
      </c>
      <c r="H1307" s="2">
        <v>14086</v>
      </c>
    </row>
    <row r="1308" spans="1:8" x14ac:dyDescent="0.3">
      <c r="A1308" t="s">
        <v>940</v>
      </c>
      <c r="B1308" t="s">
        <v>206</v>
      </c>
      <c r="C1308" t="s">
        <v>207</v>
      </c>
      <c r="D1308" t="s">
        <v>245</v>
      </c>
      <c r="E1308" t="s">
        <v>246</v>
      </c>
      <c r="F1308" t="str">
        <f>IFERROR(INDEX(Aux!E:E,MATCH(Dados!E1308,Aux!D:D,0)),INDEX(Aux!K:K,MATCH(Dados!B1308,Aux!I:I,0)))</f>
        <v>Centro direita</v>
      </c>
      <c r="G1308" s="2">
        <v>0</v>
      </c>
      <c r="H1308" s="2">
        <v>8661</v>
      </c>
    </row>
    <row r="1309" spans="1:8" x14ac:dyDescent="0.3">
      <c r="A1309" t="s">
        <v>940</v>
      </c>
      <c r="B1309" t="s">
        <v>756</v>
      </c>
      <c r="C1309" t="s">
        <v>757</v>
      </c>
      <c r="D1309" t="s">
        <v>768</v>
      </c>
      <c r="E1309" t="s">
        <v>769</v>
      </c>
      <c r="F1309" t="str">
        <f>IFERROR(INDEX(Aux!E:E,MATCH(Dados!E1309,Aux!D:D,0)),INDEX(Aux!K:K,MATCH(Dados!B1309,Aux!I:I,0)))</f>
        <v>Esquerda</v>
      </c>
      <c r="G1309" s="2">
        <v>0</v>
      </c>
      <c r="H1309" s="2">
        <v>9934</v>
      </c>
    </row>
    <row r="1310" spans="1:8" x14ac:dyDescent="0.3">
      <c r="A1310" t="s">
        <v>940</v>
      </c>
      <c r="B1310" t="s">
        <v>783</v>
      </c>
      <c r="C1310" t="s">
        <v>784</v>
      </c>
      <c r="D1310" t="s">
        <v>308</v>
      </c>
      <c r="E1310" t="s">
        <v>307</v>
      </c>
      <c r="F1310" t="str">
        <f>IFERROR(INDEX(Aux!E:E,MATCH(Dados!E1310,Aux!D:D,0)),INDEX(Aux!K:K,MATCH(Dados!B1310,Aux!I:I,0)))</f>
        <v>Direita</v>
      </c>
      <c r="G1310" s="2">
        <v>0</v>
      </c>
      <c r="H1310" s="2">
        <v>6996</v>
      </c>
    </row>
    <row r="1311" spans="1:8" x14ac:dyDescent="0.3">
      <c r="A1311" t="s">
        <v>940</v>
      </c>
      <c r="B1311" t="s">
        <v>770</v>
      </c>
      <c r="C1311" t="s">
        <v>771</v>
      </c>
      <c r="D1311" t="s">
        <v>772</v>
      </c>
      <c r="E1311" t="s">
        <v>773</v>
      </c>
      <c r="F1311" t="str">
        <f>IFERROR(INDEX(Aux!E:E,MATCH(Dados!E1311,Aux!D:D,0)),INDEX(Aux!K:K,MATCH(Dados!B1311,Aux!I:I,0)))</f>
        <v>Indefinido</v>
      </c>
      <c r="G1311" s="2">
        <v>0</v>
      </c>
      <c r="H1311" s="2">
        <v>5580</v>
      </c>
    </row>
    <row r="1312" spans="1:8" x14ac:dyDescent="0.3">
      <c r="A1312" t="s">
        <v>940</v>
      </c>
      <c r="B1312" t="s">
        <v>857</v>
      </c>
      <c r="C1312" t="s">
        <v>858</v>
      </c>
      <c r="D1312" t="s">
        <v>754</v>
      </c>
      <c r="E1312" t="s">
        <v>755</v>
      </c>
      <c r="F1312" t="str">
        <f>IFERROR(INDEX(Aux!E:E,MATCH(Dados!E1312,Aux!D:D,0)),INDEX(Aux!K:K,MATCH(Dados!B1312,Aux!I:I,0)))</f>
        <v>Centro direita</v>
      </c>
      <c r="G1312" s="2">
        <v>0</v>
      </c>
      <c r="H1312" s="2">
        <v>5834</v>
      </c>
    </row>
    <row r="1313" spans="1:8" x14ac:dyDescent="0.3">
      <c r="A1313" t="s">
        <v>940</v>
      </c>
      <c r="B1313" t="s">
        <v>716</v>
      </c>
      <c r="C1313" t="s">
        <v>717</v>
      </c>
      <c r="D1313" t="s">
        <v>647</v>
      </c>
      <c r="E1313" t="s">
        <v>648</v>
      </c>
      <c r="F1313" t="str">
        <f>IFERROR(INDEX(Aux!E:E,MATCH(Dados!E1313,Aux!D:D,0)),INDEX(Aux!K:K,MATCH(Dados!B1313,Aux!I:I,0)))</f>
        <v>Centro direita</v>
      </c>
      <c r="G1313" s="2">
        <v>0</v>
      </c>
      <c r="H1313" s="2">
        <v>23360</v>
      </c>
    </row>
    <row r="1314" spans="1:8" x14ac:dyDescent="0.3">
      <c r="A1314" t="s">
        <v>940</v>
      </c>
      <c r="B1314" t="s">
        <v>690</v>
      </c>
      <c r="C1314" t="s">
        <v>691</v>
      </c>
      <c r="D1314" t="s">
        <v>308</v>
      </c>
      <c r="E1314" t="s">
        <v>307</v>
      </c>
      <c r="F1314" t="str">
        <f>IFERROR(INDEX(Aux!E:E,MATCH(Dados!E1314,Aux!D:D,0)),INDEX(Aux!K:K,MATCH(Dados!B1314,Aux!I:I,0)))</f>
        <v>Direita</v>
      </c>
      <c r="G1314" s="2">
        <v>0</v>
      </c>
      <c r="H1314" s="2">
        <v>2781</v>
      </c>
    </row>
    <row r="1315" spans="1:8" x14ac:dyDescent="0.3">
      <c r="A1315" t="s">
        <v>940</v>
      </c>
      <c r="B1315" t="s">
        <v>664</v>
      </c>
      <c r="C1315" t="s">
        <v>665</v>
      </c>
      <c r="D1315" t="s">
        <v>578</v>
      </c>
      <c r="E1315" t="s">
        <v>579</v>
      </c>
      <c r="F1315" t="str">
        <f>IFERROR(INDEX(Aux!E:E,MATCH(Dados!E1315,Aux!D:D,0)),INDEX(Aux!K:K,MATCH(Dados!B1315,Aux!I:I,0)))</f>
        <v>Centro direita</v>
      </c>
      <c r="G1315" s="2">
        <v>0</v>
      </c>
      <c r="H1315" s="2">
        <v>4470</v>
      </c>
    </row>
    <row r="1316" spans="1:8" x14ac:dyDescent="0.3">
      <c r="A1316" t="s">
        <v>940</v>
      </c>
      <c r="B1316" t="s">
        <v>737</v>
      </c>
      <c r="C1316" t="s">
        <v>738</v>
      </c>
      <c r="D1316" t="s">
        <v>754</v>
      </c>
      <c r="E1316" t="s">
        <v>755</v>
      </c>
      <c r="F1316" t="str">
        <f>IFERROR(INDEX(Aux!E:E,MATCH(Dados!E1316,Aux!D:D,0)),INDEX(Aux!K:K,MATCH(Dados!B1316,Aux!I:I,0)))</f>
        <v>Centro direita</v>
      </c>
      <c r="G1316" s="2">
        <v>0</v>
      </c>
      <c r="H1316" s="2">
        <v>11490</v>
      </c>
    </row>
    <row r="1317" spans="1:8" x14ac:dyDescent="0.3">
      <c r="A1317" t="s">
        <v>940</v>
      </c>
      <c r="B1317" t="s">
        <v>488</v>
      </c>
      <c r="C1317" t="s">
        <v>489</v>
      </c>
      <c r="D1317" t="s">
        <v>509</v>
      </c>
      <c r="E1317" t="s">
        <v>510</v>
      </c>
      <c r="F1317" t="str">
        <f>IFERROR(INDEX(Aux!E:E,MATCH(Dados!E1317,Aux!D:D,0)),INDEX(Aux!K:K,MATCH(Dados!B1317,Aux!I:I,0)))</f>
        <v>Centro</v>
      </c>
      <c r="G1317" s="2">
        <v>0</v>
      </c>
      <c r="H1317" s="2">
        <v>10174</v>
      </c>
    </row>
    <row r="1318" spans="1:8" x14ac:dyDescent="0.3">
      <c r="A1318" t="s">
        <v>940</v>
      </c>
      <c r="B1318" t="s">
        <v>641</v>
      </c>
      <c r="C1318" t="s">
        <v>642</v>
      </c>
      <c r="D1318" t="s">
        <v>647</v>
      </c>
      <c r="E1318" t="s">
        <v>648</v>
      </c>
      <c r="F1318" t="str">
        <f>IFERROR(INDEX(Aux!E:E,MATCH(Dados!E1318,Aux!D:D,0)),INDEX(Aux!K:K,MATCH(Dados!B1318,Aux!I:I,0)))</f>
        <v>Centro direita</v>
      </c>
      <c r="G1318" s="2">
        <v>0</v>
      </c>
      <c r="H1318" s="2">
        <v>4944</v>
      </c>
    </row>
    <row r="1319" spans="1:8" x14ac:dyDescent="0.3">
      <c r="A1319" t="s">
        <v>940</v>
      </c>
      <c r="B1319" t="s">
        <v>599</v>
      </c>
      <c r="C1319" t="s">
        <v>600</v>
      </c>
      <c r="D1319" t="s">
        <v>100</v>
      </c>
      <c r="E1319" t="s">
        <v>599</v>
      </c>
      <c r="F1319" t="str">
        <f>IFERROR(INDEX(Aux!E:E,MATCH(Dados!E1319,Aux!D:D,0)),INDEX(Aux!K:K,MATCH(Dados!B1319,Aux!I:I,0)))</f>
        <v>Centro</v>
      </c>
      <c r="G1319" s="2">
        <v>0</v>
      </c>
      <c r="H1319" s="2">
        <v>7756</v>
      </c>
    </row>
    <row r="1320" spans="1:8" x14ac:dyDescent="0.3">
      <c r="A1320" t="s">
        <v>940</v>
      </c>
      <c r="B1320" t="s">
        <v>831</v>
      </c>
      <c r="C1320" t="s">
        <v>832</v>
      </c>
      <c r="D1320" t="s">
        <v>772</v>
      </c>
      <c r="E1320" t="s">
        <v>773</v>
      </c>
      <c r="F1320" t="str">
        <f>IFERROR(INDEX(Aux!E:E,MATCH(Dados!E1320,Aux!D:D,0)),INDEX(Aux!K:K,MATCH(Dados!B1320,Aux!I:I,0)))</f>
        <v>Indefinido</v>
      </c>
      <c r="G1320" s="2">
        <v>0</v>
      </c>
      <c r="H1320" s="2">
        <v>5068</v>
      </c>
    </row>
    <row r="1321" spans="1:8" x14ac:dyDescent="0.3">
      <c r="A1321" t="s">
        <v>940</v>
      </c>
      <c r="B1321" t="s">
        <v>558</v>
      </c>
      <c r="C1321" t="s">
        <v>559</v>
      </c>
      <c r="D1321" t="s">
        <v>578</v>
      </c>
      <c r="E1321" t="s">
        <v>579</v>
      </c>
      <c r="F1321" t="str">
        <f>IFERROR(INDEX(Aux!E:E,MATCH(Dados!E1321,Aux!D:D,0)),INDEX(Aux!K:K,MATCH(Dados!B1321,Aux!I:I,0)))</f>
        <v>Centro direita</v>
      </c>
      <c r="G1321" s="2">
        <v>0</v>
      </c>
      <c r="H1321" s="2">
        <v>10544</v>
      </c>
    </row>
    <row r="1322" spans="1:8" x14ac:dyDescent="0.3">
      <c r="A1322" t="s">
        <v>940</v>
      </c>
      <c r="B1322" t="s">
        <v>799</v>
      </c>
      <c r="C1322" t="s">
        <v>800</v>
      </c>
      <c r="D1322" t="s">
        <v>190</v>
      </c>
      <c r="E1322" t="s">
        <v>191</v>
      </c>
      <c r="F1322" t="str">
        <f>IFERROR(INDEX(Aux!E:E,MATCH(Dados!E1322,Aux!D:D,0)),INDEX(Aux!K:K,MATCH(Dados!B1322,Aux!I:I,0)))</f>
        <v>Esquerda</v>
      </c>
      <c r="G1322" s="2">
        <v>0</v>
      </c>
      <c r="H1322" s="2">
        <v>3400</v>
      </c>
    </row>
    <row r="1323" spans="1:8" x14ac:dyDescent="0.3">
      <c r="A1323" t="s">
        <v>940</v>
      </c>
      <c r="B1323" t="s">
        <v>440</v>
      </c>
      <c r="C1323" t="s">
        <v>441</v>
      </c>
      <c r="D1323" t="s">
        <v>190</v>
      </c>
      <c r="E1323" t="s">
        <v>191</v>
      </c>
      <c r="F1323" t="str">
        <f>IFERROR(INDEX(Aux!E:E,MATCH(Dados!E1323,Aux!D:D,0)),INDEX(Aux!K:K,MATCH(Dados!B1323,Aux!I:I,0)))</f>
        <v>Esquerda</v>
      </c>
      <c r="G1323" s="2">
        <v>0</v>
      </c>
      <c r="H1323" s="2">
        <v>10888</v>
      </c>
    </row>
    <row r="1324" spans="1:8" x14ac:dyDescent="0.3">
      <c r="A1324" t="s">
        <v>940</v>
      </c>
      <c r="B1324" t="s">
        <v>388</v>
      </c>
      <c r="C1324" t="s">
        <v>389</v>
      </c>
      <c r="D1324" t="s">
        <v>100</v>
      </c>
      <c r="E1324" t="s">
        <v>388</v>
      </c>
      <c r="F1324" t="str">
        <f>IFERROR(INDEX(Aux!E:E,MATCH(Dados!E1324,Aux!D:D,0)),INDEX(Aux!K:K,MATCH(Dados!B1324,Aux!I:I,0)))</f>
        <v>Centro direita</v>
      </c>
      <c r="G1324" s="2">
        <v>0</v>
      </c>
      <c r="H1324" s="2">
        <v>22310</v>
      </c>
    </row>
    <row r="1325" spans="1:8" x14ac:dyDescent="0.3">
      <c r="A1325" t="s">
        <v>940</v>
      </c>
      <c r="B1325" t="s">
        <v>334</v>
      </c>
      <c r="C1325" t="s">
        <v>335</v>
      </c>
      <c r="D1325" t="s">
        <v>100</v>
      </c>
      <c r="E1325" t="s">
        <v>334</v>
      </c>
      <c r="F1325" t="str">
        <f>IFERROR(INDEX(Aux!E:E,MATCH(Dados!E1325,Aux!D:D,0)),INDEX(Aux!K:K,MATCH(Dados!B1325,Aux!I:I,0)))</f>
        <v>Centro esquerda</v>
      </c>
      <c r="G1325" s="2">
        <v>0</v>
      </c>
      <c r="H1325" s="2">
        <v>16651</v>
      </c>
    </row>
    <row r="1326" spans="1:8" x14ac:dyDescent="0.3">
      <c r="A1326" t="s">
        <v>940</v>
      </c>
      <c r="B1326" t="s">
        <v>135</v>
      </c>
      <c r="C1326" t="s">
        <v>136</v>
      </c>
      <c r="D1326" t="s">
        <v>190</v>
      </c>
      <c r="E1326" t="s">
        <v>191</v>
      </c>
      <c r="F1326" t="str">
        <f>IFERROR(INDEX(Aux!E:E,MATCH(Dados!E1326,Aux!D:D,0)),INDEX(Aux!K:K,MATCH(Dados!B1326,Aux!I:I,0)))</f>
        <v>Esquerda</v>
      </c>
      <c r="G1326" s="2">
        <v>0</v>
      </c>
      <c r="H1326" s="2">
        <v>4176</v>
      </c>
    </row>
    <row r="1327" spans="1:8" x14ac:dyDescent="0.3">
      <c r="A1327" t="s">
        <v>940</v>
      </c>
      <c r="B1327" t="s">
        <v>4</v>
      </c>
      <c r="C1327" t="s">
        <v>5</v>
      </c>
      <c r="D1327" t="s">
        <v>82</v>
      </c>
      <c r="E1327" t="s">
        <v>83</v>
      </c>
      <c r="F1327" t="str">
        <f>IFERROR(INDEX(Aux!E:E,MATCH(Dados!E1327,Aux!D:D,0)),INDEX(Aux!K:K,MATCH(Dados!B1327,Aux!I:I,0)))</f>
        <v>Direita</v>
      </c>
      <c r="G1327" s="2">
        <v>0</v>
      </c>
      <c r="H1327" s="2">
        <v>24255</v>
      </c>
    </row>
    <row r="1328" spans="1:8" x14ac:dyDescent="0.3">
      <c r="A1328" t="s">
        <v>921</v>
      </c>
      <c r="B1328" t="s">
        <v>902</v>
      </c>
      <c r="C1328" t="s">
        <v>902</v>
      </c>
      <c r="D1328" t="s">
        <v>408</v>
      </c>
      <c r="E1328" t="s">
        <v>409</v>
      </c>
      <c r="F1328" t="str">
        <f>IFERROR(INDEX(Aux!E:E,MATCH(Dados!E1328,Aux!D:D,0)),INDEX(Aux!K:K,MATCH(Dados!B1328,Aux!I:I,0)))</f>
        <v>Centro</v>
      </c>
      <c r="G1328" s="2">
        <v>0</v>
      </c>
      <c r="H1328" s="2">
        <v>327</v>
      </c>
    </row>
    <row r="1329" spans="1:8" x14ac:dyDescent="0.3">
      <c r="A1329" t="s">
        <v>921</v>
      </c>
      <c r="B1329" t="s">
        <v>899</v>
      </c>
      <c r="C1329" t="s">
        <v>900</v>
      </c>
      <c r="D1329" t="s">
        <v>408</v>
      </c>
      <c r="E1329" t="s">
        <v>409</v>
      </c>
      <c r="F1329" t="str">
        <f>IFERROR(INDEX(Aux!E:E,MATCH(Dados!E1329,Aux!D:D,0)),INDEX(Aux!K:K,MATCH(Dados!B1329,Aux!I:I,0)))</f>
        <v>Centro</v>
      </c>
      <c r="G1329" s="2">
        <v>0</v>
      </c>
      <c r="H1329" s="2">
        <v>1140</v>
      </c>
    </row>
    <row r="1330" spans="1:8" x14ac:dyDescent="0.3">
      <c r="A1330" t="s">
        <v>921</v>
      </c>
      <c r="B1330" t="s">
        <v>893</v>
      </c>
      <c r="C1330" t="s">
        <v>894</v>
      </c>
      <c r="D1330" t="s">
        <v>343</v>
      </c>
      <c r="E1330" t="s">
        <v>344</v>
      </c>
      <c r="F1330" t="str">
        <f>IFERROR(INDEX(Aux!E:E,MATCH(Dados!E1330,Aux!D:D,0)),INDEX(Aux!K:K,MATCH(Dados!B1330,Aux!I:I,0)))</f>
        <v>Indefinido</v>
      </c>
      <c r="G1330" s="2">
        <v>0</v>
      </c>
      <c r="H1330" s="2">
        <v>71064</v>
      </c>
    </row>
    <row r="1331" spans="1:8" x14ac:dyDescent="0.3">
      <c r="A1331" t="s">
        <v>921</v>
      </c>
      <c r="B1331" t="s">
        <v>875</v>
      </c>
      <c r="C1331" t="s">
        <v>876</v>
      </c>
      <c r="D1331" t="s">
        <v>841</v>
      </c>
      <c r="E1331" t="s">
        <v>842</v>
      </c>
      <c r="F1331" t="str">
        <f>IFERROR(INDEX(Aux!E:E,MATCH(Dados!E1331,Aux!D:D,0)),INDEX(Aux!K:K,MATCH(Dados!B1331,Aux!I:I,0)))</f>
        <v>Centro</v>
      </c>
      <c r="G1331" s="2">
        <v>0</v>
      </c>
      <c r="H1331" s="2">
        <v>597923</v>
      </c>
    </row>
    <row r="1332" spans="1:8" x14ac:dyDescent="0.3">
      <c r="A1332" t="s">
        <v>921</v>
      </c>
      <c r="B1332" t="s">
        <v>871</v>
      </c>
      <c r="C1332" t="s">
        <v>872</v>
      </c>
      <c r="D1332" t="s">
        <v>265</v>
      </c>
      <c r="E1332" t="s">
        <v>266</v>
      </c>
      <c r="F1332" t="str">
        <f>IFERROR(INDEX(Aux!E:E,MATCH(Dados!E1332,Aux!D:D,0)),INDEX(Aux!K:K,MATCH(Dados!B1332,Aux!I:I,0)))</f>
        <v>Esquerda</v>
      </c>
      <c r="G1332" s="2">
        <v>0</v>
      </c>
      <c r="H1332" s="2">
        <v>24521</v>
      </c>
    </row>
    <row r="1333" spans="1:8" x14ac:dyDescent="0.3">
      <c r="A1333" t="s">
        <v>921</v>
      </c>
      <c r="B1333" t="s">
        <v>817</v>
      </c>
      <c r="C1333" t="s">
        <v>818</v>
      </c>
      <c r="D1333" t="s">
        <v>265</v>
      </c>
      <c r="E1333" t="s">
        <v>266</v>
      </c>
      <c r="F1333" t="str">
        <f>IFERROR(INDEX(Aux!E:E,MATCH(Dados!E1333,Aux!D:D,0)),INDEX(Aux!K:K,MATCH(Dados!B1333,Aux!I:I,0)))</f>
        <v>Esquerda</v>
      </c>
      <c r="G1333" s="2">
        <v>0</v>
      </c>
      <c r="H1333" s="2">
        <v>110425</v>
      </c>
    </row>
    <row r="1334" spans="1:8" x14ac:dyDescent="0.3">
      <c r="A1334" t="s">
        <v>921</v>
      </c>
      <c r="B1334" t="s">
        <v>787</v>
      </c>
      <c r="C1334" t="s">
        <v>788</v>
      </c>
      <c r="D1334" t="s">
        <v>265</v>
      </c>
      <c r="E1334" t="s">
        <v>266</v>
      </c>
      <c r="F1334" t="str">
        <f>IFERROR(INDEX(Aux!E:E,MATCH(Dados!E1334,Aux!D:D,0)),INDEX(Aux!K:K,MATCH(Dados!B1334,Aux!I:I,0)))</f>
        <v>Esquerda</v>
      </c>
      <c r="G1334" s="2">
        <v>0</v>
      </c>
      <c r="H1334" s="2">
        <v>1358</v>
      </c>
    </row>
    <row r="1335" spans="1:8" x14ac:dyDescent="0.3">
      <c r="A1335" t="s">
        <v>921</v>
      </c>
      <c r="B1335" t="s">
        <v>206</v>
      </c>
      <c r="C1335" t="s">
        <v>207</v>
      </c>
      <c r="D1335" t="s">
        <v>265</v>
      </c>
      <c r="E1335" t="s">
        <v>266</v>
      </c>
      <c r="F1335" t="str">
        <f>IFERROR(INDEX(Aux!E:E,MATCH(Dados!E1335,Aux!D:D,0)),INDEX(Aux!K:K,MATCH(Dados!B1335,Aux!I:I,0)))</f>
        <v>Esquerda</v>
      </c>
      <c r="G1335" s="2">
        <v>0</v>
      </c>
      <c r="H1335" s="2">
        <v>64637</v>
      </c>
    </row>
    <row r="1336" spans="1:8" x14ac:dyDescent="0.3">
      <c r="A1336" t="s">
        <v>921</v>
      </c>
      <c r="B1336" t="s">
        <v>756</v>
      </c>
      <c r="C1336" t="s">
        <v>757</v>
      </c>
      <c r="D1336" t="s">
        <v>607</v>
      </c>
      <c r="E1336" t="s">
        <v>608</v>
      </c>
      <c r="F1336" t="str">
        <f>IFERROR(INDEX(Aux!E:E,MATCH(Dados!E1336,Aux!D:D,0)),INDEX(Aux!K:K,MATCH(Dados!B1336,Aux!I:I,0)))</f>
        <v>Centro direita</v>
      </c>
      <c r="G1336" s="2">
        <v>0</v>
      </c>
      <c r="H1336" s="2">
        <v>296562</v>
      </c>
    </row>
    <row r="1337" spans="1:8" x14ac:dyDescent="0.3">
      <c r="A1337" t="s">
        <v>921</v>
      </c>
      <c r="B1337" t="s">
        <v>783</v>
      </c>
      <c r="C1337" t="s">
        <v>784</v>
      </c>
      <c r="D1337" t="s">
        <v>343</v>
      </c>
      <c r="E1337" t="s">
        <v>344</v>
      </c>
      <c r="F1337" t="str">
        <f>IFERROR(INDEX(Aux!E:E,MATCH(Dados!E1337,Aux!D:D,0)),INDEX(Aux!K:K,MATCH(Dados!B1337,Aux!I:I,0)))</f>
        <v>Indefinido</v>
      </c>
      <c r="G1337" s="2">
        <v>0</v>
      </c>
      <c r="H1337" s="2">
        <v>848</v>
      </c>
    </row>
    <row r="1338" spans="1:8" x14ac:dyDescent="0.3">
      <c r="A1338" t="s">
        <v>921</v>
      </c>
      <c r="B1338" t="s">
        <v>770</v>
      </c>
      <c r="C1338" t="s">
        <v>771</v>
      </c>
      <c r="D1338" t="s">
        <v>408</v>
      </c>
      <c r="E1338" t="s">
        <v>409</v>
      </c>
      <c r="F1338" t="str">
        <f>IFERROR(INDEX(Aux!E:E,MATCH(Dados!E1338,Aux!D:D,0)),INDEX(Aux!K:K,MATCH(Dados!B1338,Aux!I:I,0)))</f>
        <v>Centro</v>
      </c>
      <c r="G1338" s="2">
        <v>0</v>
      </c>
      <c r="H1338" s="2">
        <v>41055</v>
      </c>
    </row>
    <row r="1339" spans="1:8" x14ac:dyDescent="0.3">
      <c r="A1339" t="s">
        <v>921</v>
      </c>
      <c r="B1339" t="s">
        <v>857</v>
      </c>
      <c r="C1339" t="s">
        <v>858</v>
      </c>
      <c r="D1339" t="s">
        <v>408</v>
      </c>
      <c r="E1339" t="s">
        <v>409</v>
      </c>
      <c r="F1339" t="str">
        <f>IFERROR(INDEX(Aux!E:E,MATCH(Dados!E1339,Aux!D:D,0)),INDEX(Aux!K:K,MATCH(Dados!B1339,Aux!I:I,0)))</f>
        <v>Centro</v>
      </c>
      <c r="G1339" s="2">
        <v>0</v>
      </c>
      <c r="H1339" s="2">
        <v>182115</v>
      </c>
    </row>
    <row r="1340" spans="1:8" x14ac:dyDescent="0.3">
      <c r="A1340" t="s">
        <v>921</v>
      </c>
      <c r="B1340" t="s">
        <v>716</v>
      </c>
      <c r="C1340" t="s">
        <v>717</v>
      </c>
      <c r="D1340" t="s">
        <v>22</v>
      </c>
      <c r="E1340" t="s">
        <v>23</v>
      </c>
      <c r="F1340" t="str">
        <f>IFERROR(INDEX(Aux!E:E,MATCH(Dados!E1340,Aux!D:D,0)),INDEX(Aux!K:K,MATCH(Dados!B1340,Aux!I:I,0)))</f>
        <v>Centro direita</v>
      </c>
      <c r="G1340" s="2">
        <v>0</v>
      </c>
      <c r="H1340" s="2">
        <v>64237</v>
      </c>
    </row>
    <row r="1341" spans="1:8" x14ac:dyDescent="0.3">
      <c r="A1341" t="s">
        <v>921</v>
      </c>
      <c r="B1341" t="s">
        <v>690</v>
      </c>
      <c r="C1341" t="s">
        <v>691</v>
      </c>
      <c r="D1341" t="s">
        <v>343</v>
      </c>
      <c r="E1341" t="s">
        <v>344</v>
      </c>
      <c r="F1341" t="str">
        <f>IFERROR(INDEX(Aux!E:E,MATCH(Dados!E1341,Aux!D:D,0)),INDEX(Aux!K:K,MATCH(Dados!B1341,Aux!I:I,0)))</f>
        <v>Indefinido</v>
      </c>
      <c r="G1341" s="2">
        <v>0</v>
      </c>
      <c r="H1341" s="2">
        <v>2685</v>
      </c>
    </row>
    <row r="1342" spans="1:8" x14ac:dyDescent="0.3">
      <c r="A1342" t="s">
        <v>921</v>
      </c>
      <c r="B1342" t="s">
        <v>664</v>
      </c>
      <c r="C1342" t="s">
        <v>665</v>
      </c>
      <c r="D1342" t="s">
        <v>343</v>
      </c>
      <c r="E1342" t="s">
        <v>344</v>
      </c>
      <c r="F1342" t="str">
        <f>IFERROR(INDEX(Aux!E:E,MATCH(Dados!E1342,Aux!D:D,0)),INDEX(Aux!K:K,MATCH(Dados!B1342,Aux!I:I,0)))</f>
        <v>Indefinido</v>
      </c>
      <c r="G1342" s="2">
        <v>0</v>
      </c>
      <c r="H1342" s="2">
        <v>11444</v>
      </c>
    </row>
    <row r="1343" spans="1:8" x14ac:dyDescent="0.3">
      <c r="A1343" t="s">
        <v>921</v>
      </c>
      <c r="B1343" t="s">
        <v>737</v>
      </c>
      <c r="C1343" t="s">
        <v>738</v>
      </c>
      <c r="D1343" t="s">
        <v>408</v>
      </c>
      <c r="E1343" t="s">
        <v>409</v>
      </c>
      <c r="F1343" t="str">
        <f>IFERROR(INDEX(Aux!E:E,MATCH(Dados!E1343,Aux!D:D,0)),INDEX(Aux!K:K,MATCH(Dados!B1343,Aux!I:I,0)))</f>
        <v>Centro</v>
      </c>
      <c r="G1343" s="2">
        <v>0</v>
      </c>
      <c r="H1343" s="2">
        <v>271</v>
      </c>
    </row>
    <row r="1344" spans="1:8" x14ac:dyDescent="0.3">
      <c r="A1344" t="s">
        <v>921</v>
      </c>
      <c r="B1344" t="s">
        <v>488</v>
      </c>
      <c r="C1344" t="s">
        <v>489</v>
      </c>
      <c r="D1344" t="s">
        <v>22</v>
      </c>
      <c r="E1344" t="s">
        <v>23</v>
      </c>
      <c r="F1344" t="str">
        <f>IFERROR(INDEX(Aux!E:E,MATCH(Dados!E1344,Aux!D:D,0)),INDEX(Aux!K:K,MATCH(Dados!B1344,Aux!I:I,0)))</f>
        <v>Centro direita</v>
      </c>
      <c r="G1344" s="2">
        <v>0</v>
      </c>
      <c r="H1344" s="2">
        <v>288699</v>
      </c>
    </row>
    <row r="1345" spans="1:8" x14ac:dyDescent="0.3">
      <c r="A1345" t="s">
        <v>921</v>
      </c>
      <c r="B1345" t="s">
        <v>641</v>
      </c>
      <c r="C1345" t="s">
        <v>642</v>
      </c>
      <c r="D1345" t="s">
        <v>607</v>
      </c>
      <c r="E1345" t="s">
        <v>608</v>
      </c>
      <c r="F1345" t="str">
        <f>IFERROR(INDEX(Aux!E:E,MATCH(Dados!E1345,Aux!D:D,0)),INDEX(Aux!K:K,MATCH(Dados!B1345,Aux!I:I,0)))</f>
        <v>Centro direita</v>
      </c>
      <c r="G1345" s="2">
        <v>0</v>
      </c>
      <c r="H1345" s="2">
        <v>40365</v>
      </c>
    </row>
    <row r="1346" spans="1:8" x14ac:dyDescent="0.3">
      <c r="A1346" t="s">
        <v>921</v>
      </c>
      <c r="B1346" t="s">
        <v>599</v>
      </c>
      <c r="C1346" t="s">
        <v>600</v>
      </c>
      <c r="D1346" t="s">
        <v>607</v>
      </c>
      <c r="E1346" t="s">
        <v>608</v>
      </c>
      <c r="F1346" t="str">
        <f>IFERROR(INDEX(Aux!E:E,MATCH(Dados!E1346,Aux!D:D,0)),INDEX(Aux!K:K,MATCH(Dados!B1346,Aux!I:I,0)))</f>
        <v>Centro direita</v>
      </c>
      <c r="G1346" s="2">
        <v>0</v>
      </c>
      <c r="H1346" s="2">
        <v>399150</v>
      </c>
    </row>
    <row r="1347" spans="1:8" x14ac:dyDescent="0.3">
      <c r="A1347" t="s">
        <v>921</v>
      </c>
      <c r="B1347" t="s">
        <v>831</v>
      </c>
      <c r="C1347" t="s">
        <v>832</v>
      </c>
      <c r="D1347" t="s">
        <v>841</v>
      </c>
      <c r="E1347" t="s">
        <v>842</v>
      </c>
      <c r="F1347" t="str">
        <f>IFERROR(INDEX(Aux!E:E,MATCH(Dados!E1347,Aux!D:D,0)),INDEX(Aux!K:K,MATCH(Dados!B1347,Aux!I:I,0)))</f>
        <v>Centro</v>
      </c>
      <c r="G1347" s="2">
        <v>0</v>
      </c>
      <c r="H1347" s="2">
        <v>266420</v>
      </c>
    </row>
    <row r="1348" spans="1:8" x14ac:dyDescent="0.3">
      <c r="A1348" t="s">
        <v>921</v>
      </c>
      <c r="B1348" t="s">
        <v>440</v>
      </c>
      <c r="C1348" t="s">
        <v>441</v>
      </c>
      <c r="D1348" t="s">
        <v>408</v>
      </c>
      <c r="E1348" t="s">
        <v>409</v>
      </c>
      <c r="F1348" t="str">
        <f>IFERROR(INDEX(Aux!E:E,MATCH(Dados!E1348,Aux!D:D,0)),INDEX(Aux!K:K,MATCH(Dados!B1348,Aux!I:I,0)))</f>
        <v>Centro</v>
      </c>
      <c r="G1348" s="2">
        <v>0</v>
      </c>
      <c r="H1348" s="2">
        <v>13776</v>
      </c>
    </row>
    <row r="1349" spans="1:8" x14ac:dyDescent="0.3">
      <c r="A1349" t="s">
        <v>921</v>
      </c>
      <c r="B1349" t="s">
        <v>388</v>
      </c>
      <c r="C1349" t="s">
        <v>389</v>
      </c>
      <c r="D1349" t="s">
        <v>408</v>
      </c>
      <c r="E1349" t="s">
        <v>409</v>
      </c>
      <c r="F1349" t="str">
        <f>IFERROR(INDEX(Aux!E:E,MATCH(Dados!E1349,Aux!D:D,0)),INDEX(Aux!K:K,MATCH(Dados!B1349,Aux!I:I,0)))</f>
        <v>Centro</v>
      </c>
      <c r="G1349" s="2">
        <v>0</v>
      </c>
      <c r="H1349" s="2">
        <v>3156</v>
      </c>
    </row>
    <row r="1350" spans="1:8" x14ac:dyDescent="0.3">
      <c r="A1350" t="s">
        <v>921</v>
      </c>
      <c r="B1350" t="s">
        <v>334</v>
      </c>
      <c r="C1350" t="s">
        <v>335</v>
      </c>
      <c r="D1350" t="s">
        <v>343</v>
      </c>
      <c r="E1350" t="s">
        <v>344</v>
      </c>
      <c r="F1350" t="str">
        <f>IFERROR(INDEX(Aux!E:E,MATCH(Dados!E1350,Aux!D:D,0)),INDEX(Aux!K:K,MATCH(Dados!B1350,Aux!I:I,0)))</f>
        <v>Indefinido</v>
      </c>
      <c r="G1350" s="2">
        <v>0</v>
      </c>
      <c r="H1350" s="2">
        <v>16572</v>
      </c>
    </row>
    <row r="1351" spans="1:8" x14ac:dyDescent="0.3">
      <c r="A1351" t="s">
        <v>921</v>
      </c>
      <c r="B1351" t="s">
        <v>4</v>
      </c>
      <c r="C1351" t="s">
        <v>5</v>
      </c>
      <c r="D1351" t="s">
        <v>22</v>
      </c>
      <c r="E1351" t="s">
        <v>23</v>
      </c>
      <c r="F1351" t="str">
        <f>IFERROR(INDEX(Aux!E:E,MATCH(Dados!E1351,Aux!D:D,0)),INDEX(Aux!K:K,MATCH(Dados!B1351,Aux!I:I,0)))</f>
        <v>Centro direita</v>
      </c>
      <c r="G1351" s="2">
        <v>0</v>
      </c>
      <c r="H1351" s="2">
        <v>35713</v>
      </c>
    </row>
    <row r="1352" spans="1:8" x14ac:dyDescent="0.3">
      <c r="A1352" t="s">
        <v>935</v>
      </c>
      <c r="B1352" t="s">
        <v>817</v>
      </c>
      <c r="C1352" t="s">
        <v>818</v>
      </c>
      <c r="D1352" t="s">
        <v>525</v>
      </c>
      <c r="E1352" t="s">
        <v>526</v>
      </c>
      <c r="F1352" t="str">
        <f>IFERROR(INDEX(Aux!E:E,MATCH(Dados!E1352,Aux!D:D,0)),INDEX(Aux!K:K,MATCH(Dados!B1352,Aux!I:I,0)))</f>
        <v>Centro esquerda</v>
      </c>
      <c r="G1352" s="2">
        <v>0</v>
      </c>
      <c r="H1352" s="2">
        <v>1926</v>
      </c>
    </row>
    <row r="1353" spans="1:8" x14ac:dyDescent="0.3">
      <c r="A1353" t="s">
        <v>935</v>
      </c>
      <c r="B1353" t="s">
        <v>864</v>
      </c>
      <c r="C1353" t="s">
        <v>865</v>
      </c>
      <c r="D1353" t="s">
        <v>100</v>
      </c>
      <c r="E1353" t="s">
        <v>864</v>
      </c>
      <c r="F1353" t="str">
        <f>IFERROR(INDEX(Aux!E:E,MATCH(Dados!E1353,Aux!D:D,0)),INDEX(Aux!K:K,MATCH(Dados!B1353,Aux!I:I,0)))</f>
        <v>Centro</v>
      </c>
      <c r="G1353" s="2">
        <v>0</v>
      </c>
      <c r="H1353" s="2">
        <v>80</v>
      </c>
    </row>
    <row r="1354" spans="1:8" x14ac:dyDescent="0.3">
      <c r="A1354" t="s">
        <v>935</v>
      </c>
      <c r="B1354" t="s">
        <v>783</v>
      </c>
      <c r="C1354" t="s">
        <v>784</v>
      </c>
      <c r="D1354" t="s">
        <v>525</v>
      </c>
      <c r="E1354" t="s">
        <v>526</v>
      </c>
      <c r="F1354" t="str">
        <f>IFERROR(INDEX(Aux!E:E,MATCH(Dados!E1354,Aux!D:D,0)),INDEX(Aux!K:K,MATCH(Dados!B1354,Aux!I:I,0)))</f>
        <v>Centro esquerda</v>
      </c>
      <c r="G1354" s="2">
        <v>0</v>
      </c>
      <c r="H1354" s="2">
        <v>6037</v>
      </c>
    </row>
    <row r="1355" spans="1:8" x14ac:dyDescent="0.3">
      <c r="A1355" t="s">
        <v>935</v>
      </c>
      <c r="B1355" t="s">
        <v>770</v>
      </c>
      <c r="C1355" t="s">
        <v>771</v>
      </c>
      <c r="D1355" t="s">
        <v>96</v>
      </c>
      <c r="E1355" t="s">
        <v>97</v>
      </c>
      <c r="F1355" t="str">
        <f>IFERROR(INDEX(Aux!E:E,MATCH(Dados!E1355,Aux!D:D,0)),INDEX(Aux!K:K,MATCH(Dados!B1355,Aux!I:I,0)))</f>
        <v>Esquerda</v>
      </c>
      <c r="G1355" s="2">
        <v>0</v>
      </c>
      <c r="H1355" s="2">
        <v>47889</v>
      </c>
    </row>
    <row r="1356" spans="1:8" x14ac:dyDescent="0.3">
      <c r="A1356" t="s">
        <v>935</v>
      </c>
      <c r="B1356" t="s">
        <v>857</v>
      </c>
      <c r="C1356" t="s">
        <v>858</v>
      </c>
      <c r="D1356" t="s">
        <v>662</v>
      </c>
      <c r="E1356" t="s">
        <v>663</v>
      </c>
      <c r="F1356" t="str">
        <f>IFERROR(INDEX(Aux!E:E,MATCH(Dados!E1356,Aux!D:D,0)),INDEX(Aux!K:K,MATCH(Dados!B1356,Aux!I:I,0)))</f>
        <v>Centro direita</v>
      </c>
      <c r="G1356" s="2">
        <v>0</v>
      </c>
      <c r="H1356" s="2">
        <v>71383</v>
      </c>
    </row>
    <row r="1357" spans="1:8" x14ac:dyDescent="0.3">
      <c r="A1357" t="s">
        <v>935</v>
      </c>
      <c r="B1357" t="s">
        <v>716</v>
      </c>
      <c r="C1357" t="s">
        <v>717</v>
      </c>
      <c r="D1357" t="s">
        <v>662</v>
      </c>
      <c r="E1357" t="s">
        <v>663</v>
      </c>
      <c r="F1357" t="str">
        <f>IFERROR(INDEX(Aux!E:E,MATCH(Dados!E1357,Aux!D:D,0)),INDEX(Aux!K:K,MATCH(Dados!B1357,Aux!I:I,0)))</f>
        <v>Centro direita</v>
      </c>
      <c r="G1357" s="2">
        <v>0</v>
      </c>
      <c r="H1357" s="2">
        <v>39676</v>
      </c>
    </row>
    <row r="1358" spans="1:8" x14ac:dyDescent="0.3">
      <c r="A1358" t="s">
        <v>935</v>
      </c>
      <c r="B1358" t="s">
        <v>690</v>
      </c>
      <c r="C1358" t="s">
        <v>691</v>
      </c>
      <c r="D1358" t="s">
        <v>525</v>
      </c>
      <c r="E1358" t="s">
        <v>526</v>
      </c>
      <c r="F1358" t="str">
        <f>IFERROR(INDEX(Aux!E:E,MATCH(Dados!E1358,Aux!D:D,0)),INDEX(Aux!K:K,MATCH(Dados!B1358,Aux!I:I,0)))</f>
        <v>Centro esquerda</v>
      </c>
      <c r="G1358" s="2">
        <v>0</v>
      </c>
      <c r="H1358" s="2">
        <v>331</v>
      </c>
    </row>
    <row r="1359" spans="1:8" x14ac:dyDescent="0.3">
      <c r="A1359" t="s">
        <v>935</v>
      </c>
      <c r="B1359" t="s">
        <v>664</v>
      </c>
      <c r="C1359" t="s">
        <v>665</v>
      </c>
      <c r="D1359" t="s">
        <v>480</v>
      </c>
      <c r="E1359" t="s">
        <v>481</v>
      </c>
      <c r="F1359" t="str">
        <f>IFERROR(INDEX(Aux!E:E,MATCH(Dados!E1359,Aux!D:D,0)),INDEX(Aux!K:K,MATCH(Dados!B1359,Aux!I:I,0)))</f>
        <v>Centro direita</v>
      </c>
      <c r="G1359" s="2">
        <v>0</v>
      </c>
      <c r="H1359" s="2">
        <v>4015</v>
      </c>
    </row>
    <row r="1360" spans="1:8" x14ac:dyDescent="0.3">
      <c r="A1360" t="s">
        <v>935</v>
      </c>
      <c r="B1360" t="s">
        <v>488</v>
      </c>
      <c r="C1360" t="s">
        <v>489</v>
      </c>
      <c r="D1360" t="s">
        <v>525</v>
      </c>
      <c r="E1360" t="s">
        <v>526</v>
      </c>
      <c r="F1360" t="str">
        <f>IFERROR(INDEX(Aux!E:E,MATCH(Dados!E1360,Aux!D:D,0)),INDEX(Aux!K:K,MATCH(Dados!B1360,Aux!I:I,0)))</f>
        <v>Centro esquerda</v>
      </c>
      <c r="G1360" s="2">
        <v>0</v>
      </c>
      <c r="H1360" s="2">
        <v>52899</v>
      </c>
    </row>
    <row r="1361" spans="1:8" x14ac:dyDescent="0.3">
      <c r="A1361" t="s">
        <v>935</v>
      </c>
      <c r="B1361" t="s">
        <v>641</v>
      </c>
      <c r="C1361" t="s">
        <v>642</v>
      </c>
      <c r="D1361" t="s">
        <v>662</v>
      </c>
      <c r="E1361" t="s">
        <v>663</v>
      </c>
      <c r="F1361" t="str">
        <f>IFERROR(INDEX(Aux!E:E,MATCH(Dados!E1361,Aux!D:D,0)),INDEX(Aux!K:K,MATCH(Dados!B1361,Aux!I:I,0)))</f>
        <v>Centro direita</v>
      </c>
      <c r="G1361" s="2">
        <v>0</v>
      </c>
      <c r="H1361" s="2">
        <v>124237</v>
      </c>
    </row>
    <row r="1362" spans="1:8" x14ac:dyDescent="0.3">
      <c r="A1362" t="s">
        <v>935</v>
      </c>
      <c r="B1362" t="s">
        <v>831</v>
      </c>
      <c r="C1362" t="s">
        <v>832</v>
      </c>
      <c r="D1362" t="s">
        <v>662</v>
      </c>
      <c r="E1362" t="s">
        <v>663</v>
      </c>
      <c r="F1362" t="str">
        <f>IFERROR(INDEX(Aux!E:E,MATCH(Dados!E1362,Aux!D:D,0)),INDEX(Aux!K:K,MATCH(Dados!B1362,Aux!I:I,0)))</f>
        <v>Centro direita</v>
      </c>
      <c r="G1362" s="2">
        <v>0</v>
      </c>
      <c r="H1362" s="2">
        <v>34600</v>
      </c>
    </row>
    <row r="1363" spans="1:8" x14ac:dyDescent="0.3">
      <c r="A1363" t="s">
        <v>935</v>
      </c>
      <c r="B1363" t="s">
        <v>440</v>
      </c>
      <c r="C1363" t="s">
        <v>441</v>
      </c>
      <c r="D1363" t="s">
        <v>480</v>
      </c>
      <c r="E1363" t="s">
        <v>481</v>
      </c>
      <c r="F1363" t="str">
        <f>IFERROR(INDEX(Aux!E:E,MATCH(Dados!E1363,Aux!D:D,0)),INDEX(Aux!K:K,MATCH(Dados!B1363,Aux!I:I,0)))</f>
        <v>Centro direita</v>
      </c>
      <c r="G1363" s="2">
        <v>0</v>
      </c>
      <c r="H1363" s="2">
        <v>56373</v>
      </c>
    </row>
    <row r="1364" spans="1:8" x14ac:dyDescent="0.3">
      <c r="A1364" t="s">
        <v>935</v>
      </c>
      <c r="B1364" t="s">
        <v>388</v>
      </c>
      <c r="C1364" t="s">
        <v>389</v>
      </c>
      <c r="D1364" t="s">
        <v>96</v>
      </c>
      <c r="E1364" t="s">
        <v>97</v>
      </c>
      <c r="F1364" t="str">
        <f>IFERROR(INDEX(Aux!E:E,MATCH(Dados!E1364,Aux!D:D,0)),INDEX(Aux!K:K,MATCH(Dados!B1364,Aux!I:I,0)))</f>
        <v>Esquerda</v>
      </c>
      <c r="G1364" s="2">
        <v>0</v>
      </c>
      <c r="H1364" s="2">
        <v>24507</v>
      </c>
    </row>
    <row r="1365" spans="1:8" x14ac:dyDescent="0.3">
      <c r="A1365" t="s">
        <v>935</v>
      </c>
      <c r="B1365" t="s">
        <v>4</v>
      </c>
      <c r="C1365" t="s">
        <v>5</v>
      </c>
      <c r="D1365" t="s">
        <v>96</v>
      </c>
      <c r="E1365" t="s">
        <v>97</v>
      </c>
      <c r="F1365" t="str">
        <f>IFERROR(INDEX(Aux!E:E,MATCH(Dados!E1365,Aux!D:D,0)),INDEX(Aux!K:K,MATCH(Dados!B1365,Aux!I:I,0)))</f>
        <v>Esquerda</v>
      </c>
      <c r="G1365" s="2">
        <v>0</v>
      </c>
      <c r="H1365" s="2">
        <v>4295</v>
      </c>
    </row>
    <row r="1366" spans="1:8" x14ac:dyDescent="0.3">
      <c r="A1366" t="s">
        <v>915</v>
      </c>
      <c r="B1366" t="s">
        <v>893</v>
      </c>
      <c r="C1366" t="s">
        <v>894</v>
      </c>
      <c r="D1366" t="s">
        <v>633</v>
      </c>
      <c r="E1366" t="s">
        <v>634</v>
      </c>
      <c r="F1366" t="str">
        <f>IFERROR(INDEX(Aux!E:E,MATCH(Dados!E1366,Aux!D:D,0)),INDEX(Aux!K:K,MATCH(Dados!B1366,Aux!I:I,0)))</f>
        <v>Indefinido</v>
      </c>
      <c r="G1366" s="2">
        <v>0</v>
      </c>
      <c r="H1366" s="2">
        <v>1186887</v>
      </c>
    </row>
    <row r="1367" spans="1:8" x14ac:dyDescent="0.3">
      <c r="A1367" t="s">
        <v>915</v>
      </c>
      <c r="B1367" t="s">
        <v>871</v>
      </c>
      <c r="C1367" t="s">
        <v>872</v>
      </c>
      <c r="D1367" t="s">
        <v>100</v>
      </c>
      <c r="E1367" t="s">
        <v>871</v>
      </c>
      <c r="F1367" t="str">
        <f>IFERROR(INDEX(Aux!E:E,MATCH(Dados!E1367,Aux!D:D,0)),INDEX(Aux!K:K,MATCH(Dados!B1367,Aux!I:I,0)))</f>
        <v>Esquerda</v>
      </c>
      <c r="G1367" s="2">
        <v>0</v>
      </c>
      <c r="H1367" s="2">
        <v>237807</v>
      </c>
    </row>
    <row r="1368" spans="1:8" x14ac:dyDescent="0.3">
      <c r="A1368" t="s">
        <v>915</v>
      </c>
      <c r="B1368" t="s">
        <v>787</v>
      </c>
      <c r="C1368" t="s">
        <v>788</v>
      </c>
      <c r="D1368" t="s">
        <v>796</v>
      </c>
      <c r="E1368" t="s">
        <v>790</v>
      </c>
      <c r="F1368" t="str">
        <f>IFERROR(INDEX(Aux!E:E,MATCH(Dados!E1368,Aux!D:D,0)),INDEX(Aux!K:K,MATCH(Dados!B1368,Aux!I:I,0)))</f>
        <v>Centro direita</v>
      </c>
      <c r="G1368" s="2">
        <v>0</v>
      </c>
      <c r="H1368" s="2">
        <v>317201</v>
      </c>
    </row>
    <row r="1369" spans="1:8" x14ac:dyDescent="0.3">
      <c r="A1369" t="s">
        <v>915</v>
      </c>
      <c r="B1369" t="s">
        <v>864</v>
      </c>
      <c r="C1369" t="s">
        <v>865</v>
      </c>
      <c r="D1369" t="s">
        <v>796</v>
      </c>
      <c r="E1369" t="s">
        <v>790</v>
      </c>
      <c r="F1369" t="str">
        <f>IFERROR(INDEX(Aux!E:E,MATCH(Dados!E1369,Aux!D:D,0)),INDEX(Aux!K:K,MATCH(Dados!B1369,Aux!I:I,0)))</f>
        <v>Centro direita</v>
      </c>
      <c r="G1369" s="2">
        <v>0</v>
      </c>
      <c r="H1369" s="2">
        <v>20123</v>
      </c>
    </row>
    <row r="1370" spans="1:8" x14ac:dyDescent="0.3">
      <c r="A1370" t="s">
        <v>915</v>
      </c>
      <c r="B1370" t="s">
        <v>206</v>
      </c>
      <c r="C1370" t="s">
        <v>207</v>
      </c>
      <c r="D1370" t="s">
        <v>100</v>
      </c>
      <c r="E1370" t="s">
        <v>206</v>
      </c>
      <c r="F1370" t="str">
        <f>IFERROR(INDEX(Aux!E:E,MATCH(Dados!E1370,Aux!D:D,0)),INDEX(Aux!K:K,MATCH(Dados!B1370,Aux!I:I,0)))</f>
        <v>Centro direita</v>
      </c>
      <c r="G1370" s="2">
        <v>0</v>
      </c>
      <c r="H1370" s="2">
        <v>832076</v>
      </c>
    </row>
    <row r="1371" spans="1:8" x14ac:dyDescent="0.3">
      <c r="A1371" t="s">
        <v>915</v>
      </c>
      <c r="B1371" t="s">
        <v>756</v>
      </c>
      <c r="C1371" t="s">
        <v>757</v>
      </c>
      <c r="D1371" t="s">
        <v>633</v>
      </c>
      <c r="E1371" t="s">
        <v>634</v>
      </c>
      <c r="F1371" t="str">
        <f>IFERROR(INDEX(Aux!E:E,MATCH(Dados!E1371,Aux!D:D,0)),INDEX(Aux!K:K,MATCH(Dados!B1371,Aux!I:I,0)))</f>
        <v>Indefinido</v>
      </c>
      <c r="G1371" s="2">
        <v>0</v>
      </c>
      <c r="H1371" s="2">
        <v>810046</v>
      </c>
    </row>
    <row r="1372" spans="1:8" x14ac:dyDescent="0.3">
      <c r="A1372" t="s">
        <v>915</v>
      </c>
      <c r="B1372" t="s">
        <v>770</v>
      </c>
      <c r="C1372" t="s">
        <v>771</v>
      </c>
      <c r="D1372" t="s">
        <v>377</v>
      </c>
      <c r="E1372" t="s">
        <v>378</v>
      </c>
      <c r="F1372" t="str">
        <f>IFERROR(INDEX(Aux!E:E,MATCH(Dados!E1372,Aux!D:D,0)),INDEX(Aux!K:K,MATCH(Dados!B1372,Aux!I:I,0)))</f>
        <v>Esquerda</v>
      </c>
      <c r="G1372" s="2">
        <v>0</v>
      </c>
      <c r="H1372" s="2">
        <v>316670</v>
      </c>
    </row>
    <row r="1373" spans="1:8" x14ac:dyDescent="0.3">
      <c r="A1373" t="s">
        <v>915</v>
      </c>
      <c r="B1373" t="s">
        <v>716</v>
      </c>
      <c r="C1373" t="s">
        <v>717</v>
      </c>
      <c r="D1373" t="s">
        <v>633</v>
      </c>
      <c r="E1373" t="s">
        <v>634</v>
      </c>
      <c r="F1373" t="str">
        <f>IFERROR(INDEX(Aux!E:E,MATCH(Dados!E1373,Aux!D:D,0)),INDEX(Aux!K:K,MATCH(Dados!B1373,Aux!I:I,0)))</f>
        <v>Indefinido</v>
      </c>
      <c r="G1373" s="2">
        <v>0</v>
      </c>
      <c r="H1373" s="2">
        <v>694970</v>
      </c>
    </row>
    <row r="1374" spans="1:8" x14ac:dyDescent="0.3">
      <c r="A1374" t="s">
        <v>915</v>
      </c>
      <c r="B1374" t="s">
        <v>488</v>
      </c>
      <c r="C1374" t="s">
        <v>489</v>
      </c>
      <c r="D1374" t="s">
        <v>377</v>
      </c>
      <c r="E1374" t="s">
        <v>378</v>
      </c>
      <c r="F1374" t="str">
        <f>IFERROR(INDEX(Aux!E:E,MATCH(Dados!E1374,Aux!D:D,0)),INDEX(Aux!K:K,MATCH(Dados!B1374,Aux!I:I,0)))</f>
        <v>Esquerda</v>
      </c>
      <c r="G1374" s="2">
        <v>0</v>
      </c>
      <c r="H1374" s="2">
        <v>1182782</v>
      </c>
    </row>
    <row r="1375" spans="1:8" x14ac:dyDescent="0.3">
      <c r="A1375" t="s">
        <v>915</v>
      </c>
      <c r="B1375" t="s">
        <v>641</v>
      </c>
      <c r="C1375" t="s">
        <v>642</v>
      </c>
      <c r="D1375" t="s">
        <v>377</v>
      </c>
      <c r="E1375" t="s">
        <v>378</v>
      </c>
      <c r="F1375" t="str">
        <f>IFERROR(INDEX(Aux!E:E,MATCH(Dados!E1375,Aux!D:D,0)),INDEX(Aux!K:K,MATCH(Dados!B1375,Aux!I:I,0)))</f>
        <v>Esquerda</v>
      </c>
      <c r="G1375" s="2">
        <v>0</v>
      </c>
      <c r="H1375" s="2">
        <v>115858</v>
      </c>
    </row>
    <row r="1376" spans="1:8" x14ac:dyDescent="0.3">
      <c r="A1376" t="s">
        <v>915</v>
      </c>
      <c r="B1376" t="s">
        <v>599</v>
      </c>
      <c r="C1376" t="s">
        <v>600</v>
      </c>
      <c r="D1376" t="s">
        <v>633</v>
      </c>
      <c r="E1376" t="s">
        <v>634</v>
      </c>
      <c r="F1376" t="str">
        <f>IFERROR(INDEX(Aux!E:E,MATCH(Dados!E1376,Aux!D:D,0)),INDEX(Aux!K:K,MATCH(Dados!B1376,Aux!I:I,0)))</f>
        <v>Indefinido</v>
      </c>
      <c r="G1376" s="2">
        <v>0</v>
      </c>
      <c r="H1376" s="2">
        <v>535621</v>
      </c>
    </row>
    <row r="1377" spans="1:8" x14ac:dyDescent="0.3">
      <c r="A1377" t="s">
        <v>915</v>
      </c>
      <c r="B1377" t="s">
        <v>831</v>
      </c>
      <c r="C1377" t="s">
        <v>832</v>
      </c>
      <c r="D1377" t="s">
        <v>633</v>
      </c>
      <c r="E1377" t="s">
        <v>634</v>
      </c>
      <c r="F1377" t="str">
        <f>IFERROR(INDEX(Aux!E:E,MATCH(Dados!E1377,Aux!D:D,0)),INDEX(Aux!K:K,MATCH(Dados!B1377,Aux!I:I,0)))</f>
        <v>Indefinido</v>
      </c>
      <c r="G1377" s="2">
        <v>0</v>
      </c>
      <c r="H1377" s="2">
        <v>1692191</v>
      </c>
    </row>
    <row r="1378" spans="1:8" x14ac:dyDescent="0.3">
      <c r="A1378" t="s">
        <v>915</v>
      </c>
      <c r="B1378" t="s">
        <v>799</v>
      </c>
      <c r="C1378" t="s">
        <v>800</v>
      </c>
      <c r="D1378" t="s">
        <v>100</v>
      </c>
      <c r="E1378" t="s">
        <v>799</v>
      </c>
      <c r="F1378" t="str">
        <f>IFERROR(INDEX(Aux!E:E,MATCH(Dados!E1378,Aux!D:D,0)),INDEX(Aux!K:K,MATCH(Dados!B1378,Aux!I:I,0)))</f>
        <v>Esquerda</v>
      </c>
      <c r="G1378" s="2">
        <v>0</v>
      </c>
      <c r="H1378" s="2">
        <v>1503755</v>
      </c>
    </row>
    <row r="1379" spans="1:8" x14ac:dyDescent="0.3">
      <c r="A1379" t="s">
        <v>915</v>
      </c>
      <c r="B1379" t="s">
        <v>440</v>
      </c>
      <c r="C1379" t="s">
        <v>441</v>
      </c>
      <c r="D1379" t="s">
        <v>377</v>
      </c>
      <c r="E1379" t="s">
        <v>378</v>
      </c>
      <c r="F1379" t="str">
        <f>IFERROR(INDEX(Aux!E:E,MATCH(Dados!E1379,Aux!D:D,0)),INDEX(Aux!K:K,MATCH(Dados!B1379,Aux!I:I,0)))</f>
        <v>Esquerda</v>
      </c>
      <c r="G1379" s="2">
        <v>0</v>
      </c>
      <c r="H1379" s="2">
        <v>340185</v>
      </c>
    </row>
    <row r="1380" spans="1:8" x14ac:dyDescent="0.3">
      <c r="A1380" t="s">
        <v>915</v>
      </c>
      <c r="B1380" t="s">
        <v>334</v>
      </c>
      <c r="C1380" t="s">
        <v>335</v>
      </c>
      <c r="D1380" t="s">
        <v>377</v>
      </c>
      <c r="E1380" t="s">
        <v>378</v>
      </c>
      <c r="F1380" t="str">
        <f>IFERROR(INDEX(Aux!E:E,MATCH(Dados!E1380,Aux!D:D,0)),INDEX(Aux!K:K,MATCH(Dados!B1380,Aux!I:I,0)))</f>
        <v>Esquerda</v>
      </c>
      <c r="G1380" s="2">
        <v>0</v>
      </c>
      <c r="H1380" s="2">
        <v>444624</v>
      </c>
    </row>
    <row r="1381" spans="1:8" x14ac:dyDescent="0.3">
      <c r="A1381" t="s">
        <v>936</v>
      </c>
      <c r="B1381" t="s">
        <v>902</v>
      </c>
      <c r="C1381" t="s">
        <v>902</v>
      </c>
      <c r="D1381" t="s">
        <v>62</v>
      </c>
      <c r="E1381" t="s">
        <v>63</v>
      </c>
      <c r="F1381" t="str">
        <f>IFERROR(INDEX(Aux!E:E,MATCH(Dados!E1381,Aux!D:D,0)),INDEX(Aux!K:K,MATCH(Dados!B1381,Aux!I:I,0)))</f>
        <v>Centro</v>
      </c>
      <c r="G1381" s="2">
        <v>0</v>
      </c>
      <c r="H1381" s="2">
        <v>9245</v>
      </c>
    </row>
    <row r="1382" spans="1:8" x14ac:dyDescent="0.3">
      <c r="A1382" t="s">
        <v>936</v>
      </c>
      <c r="B1382" t="s">
        <v>899</v>
      </c>
      <c r="C1382" t="s">
        <v>900</v>
      </c>
      <c r="D1382" t="s">
        <v>776</v>
      </c>
      <c r="E1382" t="s">
        <v>777</v>
      </c>
      <c r="F1382" t="str">
        <f>IFERROR(INDEX(Aux!E:E,MATCH(Dados!E1382,Aux!D:D,0)),INDEX(Aux!K:K,MATCH(Dados!B1382,Aux!I:I,0)))</f>
        <v>Direita</v>
      </c>
      <c r="G1382" s="2">
        <v>0</v>
      </c>
      <c r="H1382" s="2">
        <v>17078</v>
      </c>
    </row>
    <row r="1383" spans="1:8" x14ac:dyDescent="0.3">
      <c r="A1383" t="s">
        <v>936</v>
      </c>
      <c r="B1383" t="s">
        <v>893</v>
      </c>
      <c r="C1383" t="s">
        <v>894</v>
      </c>
      <c r="D1383" t="s">
        <v>62</v>
      </c>
      <c r="E1383" t="s">
        <v>63</v>
      </c>
      <c r="F1383" t="str">
        <f>IFERROR(INDEX(Aux!E:E,MATCH(Dados!E1383,Aux!D:D,0)),INDEX(Aux!K:K,MATCH(Dados!B1383,Aux!I:I,0)))</f>
        <v>Centro</v>
      </c>
      <c r="G1383" s="2">
        <v>0</v>
      </c>
      <c r="H1383" s="2">
        <v>20817</v>
      </c>
    </row>
    <row r="1384" spans="1:8" x14ac:dyDescent="0.3">
      <c r="A1384" t="s">
        <v>936</v>
      </c>
      <c r="B1384" t="s">
        <v>282</v>
      </c>
      <c r="C1384" t="s">
        <v>283</v>
      </c>
      <c r="D1384" t="s">
        <v>62</v>
      </c>
      <c r="E1384" t="s">
        <v>63</v>
      </c>
      <c r="F1384" t="str">
        <f>IFERROR(INDEX(Aux!E:E,MATCH(Dados!E1384,Aux!D:D,0)),INDEX(Aux!K:K,MATCH(Dados!B1384,Aux!I:I,0)))</f>
        <v>Centro</v>
      </c>
      <c r="G1384" s="2">
        <v>0</v>
      </c>
      <c r="H1384" s="2">
        <v>1893</v>
      </c>
    </row>
    <row r="1385" spans="1:8" x14ac:dyDescent="0.3">
      <c r="A1385" t="s">
        <v>936</v>
      </c>
      <c r="B1385" t="s">
        <v>871</v>
      </c>
      <c r="C1385" t="s">
        <v>872</v>
      </c>
      <c r="D1385" t="s">
        <v>814</v>
      </c>
      <c r="E1385" t="s">
        <v>804</v>
      </c>
      <c r="F1385" t="str">
        <f>IFERROR(INDEX(Aux!E:E,MATCH(Dados!E1385,Aux!D:D,0)),INDEX(Aux!K:K,MATCH(Dados!B1385,Aux!I:I,0)))</f>
        <v>Esquerda</v>
      </c>
      <c r="G1385" s="2">
        <v>0</v>
      </c>
      <c r="H1385" s="2">
        <v>5037</v>
      </c>
    </row>
    <row r="1386" spans="1:8" x14ac:dyDescent="0.3">
      <c r="A1386" t="s">
        <v>936</v>
      </c>
      <c r="B1386" t="s">
        <v>817</v>
      </c>
      <c r="C1386" t="s">
        <v>818</v>
      </c>
      <c r="D1386" t="s">
        <v>182</v>
      </c>
      <c r="E1386" t="s">
        <v>183</v>
      </c>
      <c r="F1386" t="str">
        <f>IFERROR(INDEX(Aux!E:E,MATCH(Dados!E1386,Aux!D:D,0)),INDEX(Aux!K:K,MATCH(Dados!B1386,Aux!I:I,0)))</f>
        <v>Centro esquerda</v>
      </c>
      <c r="G1386" s="2">
        <v>0</v>
      </c>
      <c r="H1386" s="2">
        <v>14490</v>
      </c>
    </row>
    <row r="1387" spans="1:8" x14ac:dyDescent="0.3">
      <c r="A1387" t="s">
        <v>936</v>
      </c>
      <c r="B1387" t="s">
        <v>787</v>
      </c>
      <c r="C1387" t="s">
        <v>788</v>
      </c>
      <c r="D1387" t="s">
        <v>62</v>
      </c>
      <c r="E1387" t="s">
        <v>63</v>
      </c>
      <c r="F1387" t="str">
        <f>IFERROR(INDEX(Aux!E:E,MATCH(Dados!E1387,Aux!D:D,0)),INDEX(Aux!K:K,MATCH(Dados!B1387,Aux!I:I,0)))</f>
        <v>Centro</v>
      </c>
      <c r="G1387" s="2">
        <v>0</v>
      </c>
      <c r="H1387" s="2">
        <v>35977</v>
      </c>
    </row>
    <row r="1388" spans="1:8" x14ac:dyDescent="0.3">
      <c r="A1388" t="s">
        <v>936</v>
      </c>
      <c r="B1388" t="s">
        <v>756</v>
      </c>
      <c r="C1388" t="s">
        <v>757</v>
      </c>
      <c r="D1388" t="s">
        <v>62</v>
      </c>
      <c r="E1388" t="s">
        <v>63</v>
      </c>
      <c r="F1388" t="str">
        <f>IFERROR(INDEX(Aux!E:E,MATCH(Dados!E1388,Aux!D:D,0)),INDEX(Aux!K:K,MATCH(Dados!B1388,Aux!I:I,0)))</f>
        <v>Centro</v>
      </c>
      <c r="G1388" s="2">
        <v>0</v>
      </c>
      <c r="H1388" s="2">
        <v>17790</v>
      </c>
    </row>
    <row r="1389" spans="1:8" x14ac:dyDescent="0.3">
      <c r="A1389" t="s">
        <v>936</v>
      </c>
      <c r="B1389" t="s">
        <v>783</v>
      </c>
      <c r="C1389" t="s">
        <v>784</v>
      </c>
      <c r="D1389" t="s">
        <v>776</v>
      </c>
      <c r="E1389" t="s">
        <v>777</v>
      </c>
      <c r="F1389" t="str">
        <f>IFERROR(INDEX(Aux!E:E,MATCH(Dados!E1389,Aux!D:D,0)),INDEX(Aux!K:K,MATCH(Dados!B1389,Aux!I:I,0)))</f>
        <v>Direita</v>
      </c>
      <c r="G1389" s="2">
        <v>0</v>
      </c>
      <c r="H1389" s="2">
        <v>7654</v>
      </c>
    </row>
    <row r="1390" spans="1:8" x14ac:dyDescent="0.3">
      <c r="A1390" t="s">
        <v>936</v>
      </c>
      <c r="B1390" t="s">
        <v>770</v>
      </c>
      <c r="C1390" t="s">
        <v>771</v>
      </c>
      <c r="D1390" t="s">
        <v>776</v>
      </c>
      <c r="E1390" t="s">
        <v>777</v>
      </c>
      <c r="F1390" t="str">
        <f>IFERROR(INDEX(Aux!E:E,MATCH(Dados!E1390,Aux!D:D,0)),INDEX(Aux!K:K,MATCH(Dados!B1390,Aux!I:I,0)))</f>
        <v>Direita</v>
      </c>
      <c r="G1390" s="2">
        <v>0</v>
      </c>
      <c r="H1390" s="2">
        <v>33066</v>
      </c>
    </row>
    <row r="1391" spans="1:8" x14ac:dyDescent="0.3">
      <c r="A1391" t="s">
        <v>936</v>
      </c>
      <c r="B1391" t="s">
        <v>716</v>
      </c>
      <c r="C1391" t="s">
        <v>717</v>
      </c>
      <c r="D1391" t="s">
        <v>62</v>
      </c>
      <c r="E1391" t="s">
        <v>63</v>
      </c>
      <c r="F1391" t="str">
        <f>IFERROR(INDEX(Aux!E:E,MATCH(Dados!E1391,Aux!D:D,0)),INDEX(Aux!K:K,MATCH(Dados!B1391,Aux!I:I,0)))</f>
        <v>Centro</v>
      </c>
      <c r="G1391" s="2">
        <v>0</v>
      </c>
      <c r="H1391" s="2">
        <v>8896</v>
      </c>
    </row>
    <row r="1392" spans="1:8" x14ac:dyDescent="0.3">
      <c r="A1392" t="s">
        <v>936</v>
      </c>
      <c r="B1392" t="s">
        <v>690</v>
      </c>
      <c r="C1392" t="s">
        <v>691</v>
      </c>
      <c r="D1392" t="s">
        <v>62</v>
      </c>
      <c r="E1392" t="s">
        <v>63</v>
      </c>
      <c r="F1392" t="str">
        <f>IFERROR(INDEX(Aux!E:E,MATCH(Dados!E1392,Aux!D:D,0)),INDEX(Aux!K:K,MATCH(Dados!B1392,Aux!I:I,0)))</f>
        <v>Centro</v>
      </c>
      <c r="G1392" s="2">
        <v>0</v>
      </c>
      <c r="H1392" s="2">
        <v>28071</v>
      </c>
    </row>
    <row r="1393" spans="1:8" x14ac:dyDescent="0.3">
      <c r="A1393" t="s">
        <v>936</v>
      </c>
      <c r="B1393" t="s">
        <v>737</v>
      </c>
      <c r="C1393" t="s">
        <v>738</v>
      </c>
      <c r="D1393" t="s">
        <v>100</v>
      </c>
      <c r="E1393" t="s">
        <v>737</v>
      </c>
      <c r="F1393" t="str">
        <f>IFERROR(INDEX(Aux!E:E,MATCH(Dados!E1393,Aux!D:D,0)),INDEX(Aux!K:K,MATCH(Dados!B1393,Aux!I:I,0)))</f>
        <v>Direita</v>
      </c>
      <c r="G1393" s="2">
        <v>0</v>
      </c>
      <c r="H1393" s="2">
        <v>19635</v>
      </c>
    </row>
    <row r="1394" spans="1:8" x14ac:dyDescent="0.3">
      <c r="A1394" t="s">
        <v>936</v>
      </c>
      <c r="B1394" t="s">
        <v>599</v>
      </c>
      <c r="C1394" t="s">
        <v>600</v>
      </c>
      <c r="D1394" t="s">
        <v>182</v>
      </c>
      <c r="E1394" t="s">
        <v>183</v>
      </c>
      <c r="F1394" t="str">
        <f>IFERROR(INDEX(Aux!E:E,MATCH(Dados!E1394,Aux!D:D,0)),INDEX(Aux!K:K,MATCH(Dados!B1394,Aux!I:I,0)))</f>
        <v>Centro esquerda</v>
      </c>
      <c r="G1394" s="2">
        <v>0</v>
      </c>
      <c r="H1394" s="2">
        <v>5575</v>
      </c>
    </row>
    <row r="1395" spans="1:8" x14ac:dyDescent="0.3">
      <c r="A1395" t="s">
        <v>936</v>
      </c>
      <c r="B1395" t="s">
        <v>799</v>
      </c>
      <c r="C1395" t="s">
        <v>800</v>
      </c>
      <c r="D1395" t="s">
        <v>814</v>
      </c>
      <c r="E1395" t="s">
        <v>804</v>
      </c>
      <c r="F1395" t="str">
        <f>IFERROR(INDEX(Aux!E:E,MATCH(Dados!E1395,Aux!D:D,0)),INDEX(Aux!K:K,MATCH(Dados!B1395,Aux!I:I,0)))</f>
        <v>Esquerda</v>
      </c>
      <c r="G1395" s="2">
        <v>0</v>
      </c>
      <c r="H1395" s="2">
        <v>49068</v>
      </c>
    </row>
    <row r="1396" spans="1:8" x14ac:dyDescent="0.3">
      <c r="A1396" t="s">
        <v>936</v>
      </c>
      <c r="B1396" t="s">
        <v>440</v>
      </c>
      <c r="C1396" t="s">
        <v>441</v>
      </c>
      <c r="D1396" t="s">
        <v>182</v>
      </c>
      <c r="E1396" t="s">
        <v>183</v>
      </c>
      <c r="F1396" t="str">
        <f>IFERROR(INDEX(Aux!E:E,MATCH(Dados!E1396,Aux!D:D,0)),INDEX(Aux!K:K,MATCH(Dados!B1396,Aux!I:I,0)))</f>
        <v>Centro esquerda</v>
      </c>
      <c r="G1396" s="2">
        <v>0</v>
      </c>
      <c r="H1396" s="2">
        <v>1480</v>
      </c>
    </row>
    <row r="1397" spans="1:8" x14ac:dyDescent="0.3">
      <c r="A1397" t="s">
        <v>936</v>
      </c>
      <c r="B1397" t="s">
        <v>388</v>
      </c>
      <c r="C1397" t="s">
        <v>389</v>
      </c>
      <c r="D1397" t="s">
        <v>62</v>
      </c>
      <c r="E1397" t="s">
        <v>63</v>
      </c>
      <c r="F1397" t="str">
        <f>IFERROR(INDEX(Aux!E:E,MATCH(Dados!E1397,Aux!D:D,0)),INDEX(Aux!K:K,MATCH(Dados!B1397,Aux!I:I,0)))</f>
        <v>Centro</v>
      </c>
      <c r="G1397" s="2">
        <v>0</v>
      </c>
      <c r="H1397" s="2">
        <v>23357</v>
      </c>
    </row>
    <row r="1398" spans="1:8" x14ac:dyDescent="0.3">
      <c r="A1398" t="s">
        <v>936</v>
      </c>
      <c r="B1398" t="s">
        <v>334</v>
      </c>
      <c r="C1398" t="s">
        <v>335</v>
      </c>
      <c r="D1398" t="s">
        <v>182</v>
      </c>
      <c r="E1398" t="s">
        <v>183</v>
      </c>
      <c r="F1398" t="str">
        <f>IFERROR(INDEX(Aux!E:E,MATCH(Dados!E1398,Aux!D:D,0)),INDEX(Aux!K:K,MATCH(Dados!B1398,Aux!I:I,0)))</f>
        <v>Centro esquerda</v>
      </c>
      <c r="G1398" s="2">
        <v>0</v>
      </c>
      <c r="H1398" s="2">
        <v>24526</v>
      </c>
    </row>
    <row r="1399" spans="1:8" x14ac:dyDescent="0.3">
      <c r="A1399" t="s">
        <v>936</v>
      </c>
      <c r="B1399" t="s">
        <v>135</v>
      </c>
      <c r="C1399" t="s">
        <v>136</v>
      </c>
      <c r="D1399" t="s">
        <v>182</v>
      </c>
      <c r="E1399" t="s">
        <v>183</v>
      </c>
      <c r="F1399" t="str">
        <f>IFERROR(INDEX(Aux!E:E,MATCH(Dados!E1399,Aux!D:D,0)),INDEX(Aux!K:K,MATCH(Dados!B1399,Aux!I:I,0)))</f>
        <v>Centro esquerda</v>
      </c>
      <c r="G1399" s="2">
        <v>0</v>
      </c>
      <c r="H1399" s="2">
        <v>5627</v>
      </c>
    </row>
    <row r="1400" spans="1:8" x14ac:dyDescent="0.3">
      <c r="A1400" t="s">
        <v>936</v>
      </c>
      <c r="B1400" t="s">
        <v>4</v>
      </c>
      <c r="C1400" t="s">
        <v>5</v>
      </c>
      <c r="D1400" t="s">
        <v>62</v>
      </c>
      <c r="E1400" t="s">
        <v>63</v>
      </c>
      <c r="F1400" t="str">
        <f>IFERROR(INDEX(Aux!E:E,MATCH(Dados!E1400,Aux!D:D,0)),INDEX(Aux!K:K,MATCH(Dados!B1400,Aux!I:I,0)))</f>
        <v>Centro</v>
      </c>
      <c r="G1400" s="2">
        <v>0</v>
      </c>
      <c r="H1400" s="2">
        <v>70301</v>
      </c>
    </row>
    <row r="1401" spans="1:8" x14ac:dyDescent="0.3">
      <c r="A1401" t="s">
        <v>945</v>
      </c>
      <c r="B1401" t="s">
        <v>558</v>
      </c>
      <c r="C1401" t="s">
        <v>559</v>
      </c>
      <c r="D1401" t="s">
        <v>946</v>
      </c>
      <c r="E1401" t="s">
        <v>946</v>
      </c>
      <c r="F1401" t="str">
        <f>IFERROR(INDEX(Aux!E:E,MATCH(Dados!E1401,Aux!D:D,0)),INDEX(Aux!K:K,MATCH(Dados!B1401,Aux!I:I,0)))</f>
        <v>Direita</v>
      </c>
      <c r="G1401" s="2">
        <v>1556349</v>
      </c>
      <c r="H1401" s="2">
        <v>1025075</v>
      </c>
    </row>
    <row r="1402" spans="1:8" x14ac:dyDescent="0.3">
      <c r="A1402" t="s">
        <v>945</v>
      </c>
      <c r="B1402" t="s">
        <v>540</v>
      </c>
      <c r="C1402" t="s">
        <v>541</v>
      </c>
      <c r="D1402" t="s">
        <v>946</v>
      </c>
      <c r="E1402" t="s">
        <v>946</v>
      </c>
      <c r="F1402" t="str">
        <f>IFERROR(INDEX(Aux!E:E,MATCH(Dados!E1402,Aux!D:D,0)),INDEX(Aux!K:K,MATCH(Dados!B1402,Aux!I:I,0)))</f>
        <v>Esquerda</v>
      </c>
      <c r="G1402" s="2">
        <v>628336</v>
      </c>
      <c r="H1402" s="2">
        <v>443516</v>
      </c>
    </row>
    <row r="1403" spans="1:8" x14ac:dyDescent="0.3">
      <c r="A1403" t="s">
        <v>945</v>
      </c>
      <c r="B1403" t="s">
        <v>488</v>
      </c>
      <c r="C1403" t="s">
        <v>489</v>
      </c>
      <c r="D1403" t="s">
        <v>946</v>
      </c>
      <c r="E1403" t="s">
        <v>946</v>
      </c>
      <c r="F1403" t="str">
        <f>IFERROR(INDEX(Aux!E:E,MATCH(Dados!E1403,Aux!D:D,0)),INDEX(Aux!K:K,MATCH(Dados!B1403,Aux!I:I,0)))</f>
        <v>Esquerda</v>
      </c>
      <c r="G1403" s="2">
        <v>279631</v>
      </c>
      <c r="H1403" s="2">
        <v>157697</v>
      </c>
    </row>
    <row r="1404" spans="1:8" x14ac:dyDescent="0.3">
      <c r="A1404" t="s">
        <v>945</v>
      </c>
      <c r="B1404" t="s">
        <v>599</v>
      </c>
      <c r="C1404" t="s">
        <v>600</v>
      </c>
      <c r="D1404" t="s">
        <v>946</v>
      </c>
      <c r="E1404" t="s">
        <v>946</v>
      </c>
      <c r="F1404" t="str">
        <f>IFERROR(INDEX(Aux!E:E,MATCH(Dados!E1404,Aux!D:D,0)),INDEX(Aux!K:K,MATCH(Dados!B1404,Aux!I:I,0)))</f>
        <v>Centro</v>
      </c>
      <c r="G1404" s="2">
        <v>513798</v>
      </c>
      <c r="H1404" s="2">
        <v>328585</v>
      </c>
    </row>
    <row r="1405" spans="1:8" x14ac:dyDescent="0.3">
      <c r="A1405" t="s">
        <v>945</v>
      </c>
      <c r="B1405" t="s">
        <v>875</v>
      </c>
      <c r="C1405" t="s">
        <v>876</v>
      </c>
      <c r="D1405" t="s">
        <v>946</v>
      </c>
      <c r="E1405" t="s">
        <v>946</v>
      </c>
      <c r="F1405" t="str">
        <f>IFERROR(INDEX(Aux!E:E,MATCH(Dados!E1405,Aux!D:D,0)),INDEX(Aux!K:K,MATCH(Dados!B1405,Aux!I:I,0)))</f>
        <v>Centro</v>
      </c>
      <c r="G1405" s="2">
        <v>430566</v>
      </c>
      <c r="H1405" s="2">
        <v>488940</v>
      </c>
    </row>
    <row r="1406" spans="1:8" x14ac:dyDescent="0.3">
      <c r="A1406" t="s">
        <v>945</v>
      </c>
      <c r="B1406" t="s">
        <v>641</v>
      </c>
      <c r="C1406" t="s">
        <v>642</v>
      </c>
      <c r="D1406" t="s">
        <v>946</v>
      </c>
      <c r="E1406" t="s">
        <v>946</v>
      </c>
      <c r="F1406" t="str">
        <f>IFERROR(INDEX(Aux!E:E,MATCH(Dados!E1406,Aux!D:D,0)),INDEX(Aux!K:K,MATCH(Dados!B1406,Aux!I:I,0)))</f>
        <v>Centro direita</v>
      </c>
      <c r="G1406" s="2">
        <v>198532</v>
      </c>
      <c r="H1406" s="2">
        <v>170261</v>
      </c>
    </row>
    <row r="1407" spans="1:8" x14ac:dyDescent="0.3">
      <c r="A1407" t="s">
        <v>945</v>
      </c>
      <c r="B1407" t="s">
        <v>756</v>
      </c>
      <c r="C1407" t="s">
        <v>757</v>
      </c>
      <c r="D1407" t="s">
        <v>946</v>
      </c>
      <c r="E1407" t="s">
        <v>946</v>
      </c>
      <c r="F1407" t="str">
        <f>IFERROR(INDEX(Aux!E:E,MATCH(Dados!E1407,Aux!D:D,0)),INDEX(Aux!K:K,MATCH(Dados!B1407,Aux!I:I,0)))</f>
        <v>Centro direita</v>
      </c>
      <c r="G1407" s="2">
        <v>248698</v>
      </c>
      <c r="H1407" s="2">
        <v>227950</v>
      </c>
    </row>
    <row r="1408" spans="1:8" x14ac:dyDescent="0.3">
      <c r="A1408" t="s">
        <v>945</v>
      </c>
      <c r="B1408" t="s">
        <v>893</v>
      </c>
      <c r="C1408" t="s">
        <v>894</v>
      </c>
      <c r="D1408" t="s">
        <v>946</v>
      </c>
      <c r="E1408" t="s">
        <v>946</v>
      </c>
      <c r="F1408" t="str">
        <f>IFERROR(INDEX(Aux!E:E,MATCH(Dados!E1408,Aux!D:D,0)),INDEX(Aux!K:K,MATCH(Dados!B1408,Aux!I:I,0)))</f>
        <v>Indefinido</v>
      </c>
      <c r="G1408" s="2">
        <v>493325</v>
      </c>
      <c r="H1408" s="2">
        <v>495797</v>
      </c>
    </row>
    <row r="1409" spans="1:8" x14ac:dyDescent="0.3">
      <c r="A1409" t="s">
        <v>945</v>
      </c>
      <c r="B1409" t="s">
        <v>871</v>
      </c>
      <c r="C1409" t="s">
        <v>872</v>
      </c>
      <c r="D1409" t="s">
        <v>946</v>
      </c>
      <c r="E1409" t="s">
        <v>946</v>
      </c>
      <c r="F1409" t="str">
        <f>IFERROR(INDEX(Aux!E:E,MATCH(Dados!E1409,Aux!D:D,0)),INDEX(Aux!K:K,MATCH(Dados!B1409,Aux!I:I,0)))</f>
        <v>Esquerda</v>
      </c>
      <c r="G1409" s="2">
        <v>86427</v>
      </c>
      <c r="H1409" s="2">
        <v>135861</v>
      </c>
    </row>
    <row r="1410" spans="1:8" x14ac:dyDescent="0.3">
      <c r="A1410" t="s">
        <v>945</v>
      </c>
      <c r="B1410" t="s">
        <v>4</v>
      </c>
      <c r="C1410" t="s">
        <v>5</v>
      </c>
      <c r="D1410" t="s">
        <v>946</v>
      </c>
      <c r="E1410" t="s">
        <v>946</v>
      </c>
      <c r="F1410" t="str">
        <f>IFERROR(INDEX(Aux!E:E,MATCH(Dados!E1410,Aux!D:D,0)),INDEX(Aux!K:K,MATCH(Dados!B1410,Aux!I:I,0)))</f>
        <v>Esquerda</v>
      </c>
      <c r="G1410" s="2">
        <v>153486</v>
      </c>
      <c r="H1410" s="2">
        <v>291714</v>
      </c>
    </row>
    <row r="1411" spans="1:8" x14ac:dyDescent="0.3">
      <c r="A1411" t="s">
        <v>945</v>
      </c>
      <c r="B1411" t="s">
        <v>716</v>
      </c>
      <c r="C1411" t="s">
        <v>717</v>
      </c>
      <c r="D1411" t="s">
        <v>946</v>
      </c>
      <c r="E1411" t="s">
        <v>946</v>
      </c>
      <c r="F1411" t="str">
        <f>IFERROR(INDEX(Aux!E:E,MATCH(Dados!E1411,Aux!D:D,0)),INDEX(Aux!K:K,MATCH(Dados!B1411,Aux!I:I,0)))</f>
        <v>Centro direita</v>
      </c>
      <c r="G1411" s="2">
        <v>396645</v>
      </c>
      <c r="H1411" s="2">
        <v>309954</v>
      </c>
    </row>
    <row r="1412" spans="1:8" x14ac:dyDescent="0.3">
      <c r="A1412" t="s">
        <v>945</v>
      </c>
      <c r="B1412" t="s">
        <v>857</v>
      </c>
      <c r="C1412" t="s">
        <v>858</v>
      </c>
      <c r="D1412" t="s">
        <v>946</v>
      </c>
      <c r="E1412" t="s">
        <v>946</v>
      </c>
      <c r="F1412" t="str">
        <f>IFERROR(INDEX(Aux!E:E,MATCH(Dados!E1412,Aux!D:D,0)),INDEX(Aux!K:K,MATCH(Dados!B1412,Aux!I:I,0)))</f>
        <v>Centro direita</v>
      </c>
      <c r="G1412" s="2">
        <v>261078</v>
      </c>
      <c r="H1412" s="2">
        <v>118372</v>
      </c>
    </row>
    <row r="1413" spans="1:8" x14ac:dyDescent="0.3">
      <c r="A1413" t="s">
        <v>945</v>
      </c>
      <c r="B1413" t="s">
        <v>785</v>
      </c>
      <c r="C1413" t="s">
        <v>786</v>
      </c>
      <c r="D1413" t="s">
        <v>946</v>
      </c>
      <c r="E1413" t="s">
        <v>946</v>
      </c>
      <c r="F1413" t="str">
        <f>IFERROR(INDEX(Aux!E:E,MATCH(Dados!E1413,Aux!D:D,0)),INDEX(Aux!K:K,MATCH(Dados!B1413,Aux!I:I,0)))</f>
        <v>Centro direita</v>
      </c>
      <c r="G1413" s="2">
        <v>175628</v>
      </c>
      <c r="H1413" s="2">
        <v>174304</v>
      </c>
    </row>
    <row r="1414" spans="1:8" x14ac:dyDescent="0.3">
      <c r="A1414" t="s">
        <v>945</v>
      </c>
      <c r="B1414" t="s">
        <v>770</v>
      </c>
      <c r="C1414" t="s">
        <v>771</v>
      </c>
      <c r="D1414" t="s">
        <v>946</v>
      </c>
      <c r="E1414" t="s">
        <v>946</v>
      </c>
      <c r="F1414" t="str">
        <f>IFERROR(INDEX(Aux!E:E,MATCH(Dados!E1414,Aux!D:D,0)),INDEX(Aux!K:K,MATCH(Dados!B1414,Aux!I:I,0)))</f>
        <v>Esquerda</v>
      </c>
      <c r="G1414" s="2">
        <v>89011</v>
      </c>
      <c r="H1414" s="2">
        <v>106017</v>
      </c>
    </row>
    <row r="1415" spans="1:8" x14ac:dyDescent="0.3">
      <c r="A1415" t="s">
        <v>945</v>
      </c>
      <c r="B1415" t="s">
        <v>899</v>
      </c>
      <c r="C1415" t="s">
        <v>900</v>
      </c>
      <c r="D1415" t="s">
        <v>946</v>
      </c>
      <c r="E1415" t="s">
        <v>946</v>
      </c>
      <c r="F1415" t="str">
        <f>IFERROR(INDEX(Aux!E:E,MATCH(Dados!E1415,Aux!D:D,0)),INDEX(Aux!K:K,MATCH(Dados!B1415,Aux!I:I,0)))</f>
        <v>Direita</v>
      </c>
      <c r="G1415" s="2">
        <v>131701</v>
      </c>
      <c r="H1415" s="2">
        <v>126453</v>
      </c>
    </row>
    <row r="1416" spans="1:8" x14ac:dyDescent="0.3">
      <c r="A1416" t="s">
        <v>945</v>
      </c>
      <c r="B1416" t="s">
        <v>799</v>
      </c>
      <c r="C1416" t="s">
        <v>800</v>
      </c>
      <c r="D1416" t="s">
        <v>946</v>
      </c>
      <c r="E1416" t="s">
        <v>946</v>
      </c>
      <c r="F1416" t="str">
        <f>IFERROR(INDEX(Aux!E:E,MATCH(Dados!E1416,Aux!D:D,0)),INDEX(Aux!K:K,MATCH(Dados!B1416,Aux!I:I,0)))</f>
        <v>Esquerda</v>
      </c>
      <c r="G1416" s="2">
        <v>208911</v>
      </c>
      <c r="H1416" s="2">
        <v>271153</v>
      </c>
    </row>
    <row r="1417" spans="1:8" x14ac:dyDescent="0.3">
      <c r="A1417" t="s">
        <v>945</v>
      </c>
      <c r="B1417" t="s">
        <v>664</v>
      </c>
      <c r="C1417" t="s">
        <v>665</v>
      </c>
      <c r="D1417" t="s">
        <v>946</v>
      </c>
      <c r="E1417" t="s">
        <v>946</v>
      </c>
      <c r="F1417" t="str">
        <f>IFERROR(INDEX(Aux!E:E,MATCH(Dados!E1417,Aux!D:D,0)),INDEX(Aux!K:K,MATCH(Dados!B1417,Aux!I:I,0)))</f>
        <v>Centro direita</v>
      </c>
      <c r="G1417" s="2">
        <v>167857</v>
      </c>
      <c r="H1417" s="2">
        <v>207378</v>
      </c>
    </row>
    <row r="1418" spans="1:8" x14ac:dyDescent="0.3">
      <c r="A1418" t="s">
        <v>945</v>
      </c>
      <c r="B1418" t="s">
        <v>690</v>
      </c>
      <c r="C1418" t="s">
        <v>691</v>
      </c>
      <c r="D1418" t="s">
        <v>946</v>
      </c>
      <c r="E1418" t="s">
        <v>946</v>
      </c>
      <c r="F1418" t="str">
        <f>IFERROR(INDEX(Aux!E:E,MATCH(Dados!E1418,Aux!D:D,0)),INDEX(Aux!K:K,MATCH(Dados!B1418,Aux!I:I,0)))</f>
        <v>Centro</v>
      </c>
      <c r="G1418" s="2">
        <v>68480</v>
      </c>
      <c r="H1418" s="2">
        <v>119388</v>
      </c>
    </row>
    <row r="1419" spans="1:8" x14ac:dyDescent="0.3">
      <c r="A1419" t="s">
        <v>945</v>
      </c>
      <c r="B1419" t="s">
        <v>787</v>
      </c>
      <c r="C1419" t="s">
        <v>788</v>
      </c>
      <c r="D1419" t="s">
        <v>946</v>
      </c>
      <c r="E1419" t="s">
        <v>946</v>
      </c>
      <c r="F1419" t="str">
        <f>IFERROR(INDEX(Aux!E:E,MATCH(Dados!E1419,Aux!D:D,0)),INDEX(Aux!K:K,MATCH(Dados!B1419,Aux!I:I,0)))</f>
        <v>Centro direita</v>
      </c>
      <c r="G1419" s="2">
        <v>137278</v>
      </c>
      <c r="H1419" s="2">
        <v>204093</v>
      </c>
    </row>
    <row r="1420" spans="1:8" x14ac:dyDescent="0.3">
      <c r="A1420" t="s">
        <v>945</v>
      </c>
      <c r="B1420" t="s">
        <v>817</v>
      </c>
      <c r="C1420" t="s">
        <v>818</v>
      </c>
      <c r="D1420" t="s">
        <v>946</v>
      </c>
      <c r="E1420" t="s">
        <v>946</v>
      </c>
      <c r="F1420" t="str">
        <f>IFERROR(INDEX(Aux!E:E,MATCH(Dados!E1420,Aux!D:D,0)),INDEX(Aux!K:K,MATCH(Dados!B1420,Aux!I:I,0)))</f>
        <v>Centro esquerda</v>
      </c>
      <c r="G1420" s="2">
        <v>204269</v>
      </c>
      <c r="H1420" s="2">
        <v>312108</v>
      </c>
    </row>
    <row r="1421" spans="1:8" x14ac:dyDescent="0.3">
      <c r="A1421" t="s">
        <v>945</v>
      </c>
      <c r="B1421" t="s">
        <v>902</v>
      </c>
      <c r="C1421" t="s">
        <v>902</v>
      </c>
      <c r="D1421" t="s">
        <v>946</v>
      </c>
      <c r="E1421" t="s">
        <v>946</v>
      </c>
      <c r="F1421" t="str">
        <f>IFERROR(INDEX(Aux!E:E,MATCH(Dados!E1421,Aux!D:D,0)),INDEX(Aux!K:K,MATCH(Dados!B1421,Aux!I:I,0)))</f>
        <v>Centro</v>
      </c>
      <c r="G1421" s="2">
        <v>127595</v>
      </c>
      <c r="H1421" s="2">
        <v>167010</v>
      </c>
    </row>
    <row r="1422" spans="1:8" x14ac:dyDescent="0.3">
      <c r="A1422" t="s">
        <v>945</v>
      </c>
      <c r="B1422" t="s">
        <v>831</v>
      </c>
      <c r="C1422" t="s">
        <v>832</v>
      </c>
      <c r="D1422" t="s">
        <v>946</v>
      </c>
      <c r="E1422" t="s">
        <v>946</v>
      </c>
      <c r="F1422" t="str">
        <f>IFERROR(INDEX(Aux!E:E,MATCH(Dados!E1422,Aux!D:D,0)),INDEX(Aux!K:K,MATCH(Dados!B1422,Aux!I:I,0)))</f>
        <v>Centro esquerda</v>
      </c>
      <c r="G1422" s="2">
        <v>121528</v>
      </c>
      <c r="H1422" s="2">
        <v>213306</v>
      </c>
    </row>
    <row r="1423" spans="1:8" x14ac:dyDescent="0.3">
      <c r="A1423" t="s">
        <v>945</v>
      </c>
      <c r="B1423" t="s">
        <v>206</v>
      </c>
      <c r="C1423" t="s">
        <v>207</v>
      </c>
      <c r="D1423" t="s">
        <v>946</v>
      </c>
      <c r="E1423" t="s">
        <v>946</v>
      </c>
      <c r="F1423" t="str">
        <f>IFERROR(INDEX(Aux!E:E,MATCH(Dados!E1423,Aux!D:D,0)),INDEX(Aux!K:K,MATCH(Dados!B1423,Aux!I:I,0)))</f>
        <v>Centro direita</v>
      </c>
      <c r="G1423" s="2">
        <v>69554</v>
      </c>
      <c r="H1423" s="2">
        <v>97271</v>
      </c>
    </row>
    <row r="1424" spans="1:8" x14ac:dyDescent="0.3">
      <c r="A1424" t="s">
        <v>945</v>
      </c>
      <c r="B1424" t="s">
        <v>440</v>
      </c>
      <c r="C1424" t="s">
        <v>441</v>
      </c>
      <c r="D1424" t="s">
        <v>946</v>
      </c>
      <c r="E1424" t="s">
        <v>946</v>
      </c>
      <c r="F1424" t="str">
        <f>IFERROR(INDEX(Aux!E:E,MATCH(Dados!E1424,Aux!D:D,0)),INDEX(Aux!K:K,MATCH(Dados!B1424,Aux!I:I,0)))</f>
        <v>Esquerda</v>
      </c>
      <c r="G1424" s="2">
        <v>68968</v>
      </c>
      <c r="H1424" s="2">
        <v>102445</v>
      </c>
    </row>
    <row r="1425" spans="1:8" x14ac:dyDescent="0.3">
      <c r="A1425" t="s">
        <v>945</v>
      </c>
      <c r="B1425" t="s">
        <v>334</v>
      </c>
      <c r="C1425" t="s">
        <v>335</v>
      </c>
      <c r="D1425" t="s">
        <v>946</v>
      </c>
      <c r="E1425" t="s">
        <v>946</v>
      </c>
      <c r="F1425" t="str">
        <f>IFERROR(INDEX(Aux!E:E,MATCH(Dados!E1425,Aux!D:D,0)),INDEX(Aux!K:K,MATCH(Dados!B1425,Aux!I:I,0)))</f>
        <v>Centro esquerda</v>
      </c>
      <c r="G1425" s="2">
        <v>19549</v>
      </c>
      <c r="H1425" s="2">
        <v>50511</v>
      </c>
    </row>
    <row r="1426" spans="1:8" x14ac:dyDescent="0.3">
      <c r="A1426" t="s">
        <v>945</v>
      </c>
      <c r="B1426" t="s">
        <v>866</v>
      </c>
      <c r="C1426" t="s">
        <v>867</v>
      </c>
      <c r="D1426" t="s">
        <v>946</v>
      </c>
      <c r="E1426" t="s">
        <v>946</v>
      </c>
      <c r="F1426" t="str">
        <f>IFERROR(INDEX(Aux!E:E,MATCH(Dados!E1426,Aux!D:D,0)),INDEX(Aux!K:K,MATCH(Dados!B1426,Aux!I:I,0)))</f>
        <v>Centro esquerda</v>
      </c>
      <c r="G1426" s="2">
        <v>14531</v>
      </c>
      <c r="H1426" s="2">
        <v>54487</v>
      </c>
    </row>
    <row r="1427" spans="1:8" x14ac:dyDescent="0.3">
      <c r="A1427" t="s">
        <v>945</v>
      </c>
      <c r="B1427" t="s">
        <v>873</v>
      </c>
      <c r="C1427" t="s">
        <v>874</v>
      </c>
      <c r="D1427" t="s">
        <v>946</v>
      </c>
      <c r="E1427" t="s">
        <v>946</v>
      </c>
      <c r="F1427" t="str">
        <f>IFERROR(INDEX(Aux!E:E,MATCH(Dados!E1427,Aux!D:D,0)),INDEX(Aux!K:K,MATCH(Dados!B1427,Aux!I:I,0)))</f>
        <v>Esquerda</v>
      </c>
      <c r="G1427" s="2">
        <v>2141</v>
      </c>
      <c r="H1427" s="2">
        <v>3311</v>
      </c>
    </row>
    <row r="1428" spans="1:8" x14ac:dyDescent="0.3">
      <c r="A1428" t="s">
        <v>945</v>
      </c>
      <c r="B1428" t="s">
        <v>135</v>
      </c>
      <c r="C1428" t="s">
        <v>136</v>
      </c>
      <c r="D1428" t="s">
        <v>946</v>
      </c>
      <c r="E1428" t="s">
        <v>946</v>
      </c>
      <c r="F1428" t="str">
        <f>IFERROR(INDEX(Aux!E:E,MATCH(Dados!E1428,Aux!D:D,0)),INDEX(Aux!K:K,MATCH(Dados!B1428,Aux!I:I,0)))</f>
        <v>Centro esquerda</v>
      </c>
      <c r="G1428" s="2">
        <v>77349</v>
      </c>
      <c r="H1428" s="2">
        <v>20076</v>
      </c>
    </row>
    <row r="1429" spans="1:8" x14ac:dyDescent="0.3">
      <c r="A1429" t="s">
        <v>945</v>
      </c>
      <c r="B1429" t="s">
        <v>282</v>
      </c>
      <c r="C1429" t="s">
        <v>283</v>
      </c>
      <c r="D1429" t="s">
        <v>946</v>
      </c>
      <c r="E1429" t="s">
        <v>946</v>
      </c>
      <c r="F1429" t="str">
        <f>IFERROR(INDEX(Aux!E:E,MATCH(Dados!E1429,Aux!D:D,0)),INDEX(Aux!K:K,MATCH(Dados!B1429,Aux!I:I,0)))</f>
        <v>Direita</v>
      </c>
      <c r="G1429" s="2">
        <v>68969</v>
      </c>
      <c r="H1429" s="2">
        <v>136609</v>
      </c>
    </row>
    <row r="1430" spans="1:8" x14ac:dyDescent="0.3">
      <c r="A1430" t="s">
        <v>945</v>
      </c>
      <c r="B1430" t="s">
        <v>737</v>
      </c>
      <c r="C1430" t="s">
        <v>738</v>
      </c>
      <c r="D1430" t="s">
        <v>946</v>
      </c>
      <c r="E1430" t="s">
        <v>946</v>
      </c>
      <c r="F1430" t="str">
        <f>IFERROR(INDEX(Aux!E:E,MATCH(Dados!E1430,Aux!D:D,0)),INDEX(Aux!K:K,MATCH(Dados!B1430,Aux!I:I,0)))</f>
        <v>Direita</v>
      </c>
      <c r="G1430" s="2">
        <v>102275</v>
      </c>
      <c r="H1430" s="2">
        <v>174291</v>
      </c>
    </row>
    <row r="1431" spans="1:8" x14ac:dyDescent="0.3">
      <c r="A1431" t="s">
        <v>945</v>
      </c>
      <c r="B1431" t="s">
        <v>864</v>
      </c>
      <c r="C1431" t="s">
        <v>865</v>
      </c>
      <c r="D1431" t="s">
        <v>946</v>
      </c>
      <c r="E1431" t="s">
        <v>946</v>
      </c>
      <c r="F1431" t="str">
        <f>IFERROR(INDEX(Aux!E:E,MATCH(Dados!E1431,Aux!D:D,0)),INDEX(Aux!K:K,MATCH(Dados!B1431,Aux!I:I,0)))</f>
        <v>Centro</v>
      </c>
      <c r="G1431" s="2">
        <v>72218</v>
      </c>
      <c r="H1431" s="2">
        <v>125661</v>
      </c>
    </row>
    <row r="1432" spans="1:8" x14ac:dyDescent="0.3">
      <c r="A1432" t="s">
        <v>945</v>
      </c>
      <c r="B1432" t="s">
        <v>388</v>
      </c>
      <c r="C1432" t="s">
        <v>389</v>
      </c>
      <c r="D1432" t="s">
        <v>946</v>
      </c>
      <c r="E1432" t="s">
        <v>946</v>
      </c>
      <c r="F1432" t="str">
        <f>IFERROR(INDEX(Aux!E:E,MATCH(Dados!E1432,Aux!D:D,0)),INDEX(Aux!K:K,MATCH(Dados!B1432,Aux!I:I,0)))</f>
        <v>Centro direita</v>
      </c>
      <c r="G1432" s="2">
        <v>53307</v>
      </c>
      <c r="H1432" s="2">
        <v>147237</v>
      </c>
    </row>
    <row r="1433" spans="1:8" x14ac:dyDescent="0.3">
      <c r="A1433" t="s">
        <v>945</v>
      </c>
      <c r="B1433" t="s">
        <v>783</v>
      </c>
      <c r="C1433" t="s">
        <v>784</v>
      </c>
      <c r="D1433" t="s">
        <v>946</v>
      </c>
      <c r="E1433" t="s">
        <v>946</v>
      </c>
      <c r="F1433" t="str">
        <f>IFERROR(INDEX(Aux!E:E,MATCH(Dados!E1433,Aux!D:D,0)),INDEX(Aux!K:K,MATCH(Dados!B1433,Aux!I:I,0)))</f>
        <v>Esquerda</v>
      </c>
      <c r="G1433" s="2">
        <v>13451</v>
      </c>
      <c r="H1433" s="2">
        <v>14797</v>
      </c>
    </row>
    <row r="1434" spans="1:8" x14ac:dyDescent="0.3">
      <c r="A1434" t="s">
        <v>945</v>
      </c>
      <c r="B1434" t="s">
        <v>869</v>
      </c>
      <c r="C1434" t="s">
        <v>870</v>
      </c>
      <c r="D1434" t="s">
        <v>946</v>
      </c>
      <c r="E1434" t="s">
        <v>946</v>
      </c>
      <c r="F1434" t="str">
        <f>IFERROR(INDEX(Aux!E:E,MATCH(Dados!E1434,Aux!D:D,0)),INDEX(Aux!K:K,MATCH(Dados!B1434,Aux!I:I,0)))</f>
        <v>Esquerda</v>
      </c>
      <c r="G1434" s="2">
        <v>0</v>
      </c>
      <c r="H1434" s="2">
        <v>0</v>
      </c>
    </row>
    <row r="1435" spans="1:8" x14ac:dyDescent="0.3">
      <c r="A1435" t="s">
        <v>945</v>
      </c>
      <c r="B1435" t="s">
        <v>484</v>
      </c>
      <c r="C1435" t="s">
        <v>485</v>
      </c>
      <c r="D1435" t="s">
        <v>946</v>
      </c>
      <c r="E1435" t="s">
        <v>946</v>
      </c>
      <c r="F1435" t="str">
        <f>IFERROR(INDEX(Aux!E:E,MATCH(Dados!E1435,Aux!D:D,0)),INDEX(Aux!K:K,MATCH(Dados!B1435,Aux!I:I,0)))</f>
        <v>Esquerda</v>
      </c>
      <c r="G1435" s="2">
        <v>0</v>
      </c>
      <c r="H1435" s="2">
        <v>1297</v>
      </c>
    </row>
  </sheetData>
  <autoFilter ref="A1:H1400" xr:uid="{5A20A94C-D45D-4831-A125-1655A49214D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2149-DD26-4458-B1B7-254B22B5B225}">
  <dimension ref="A1:R1456"/>
  <sheetViews>
    <sheetView showGridLines="0" workbookViewId="0"/>
  </sheetViews>
  <sheetFormatPr defaultRowHeight="14.4" x14ac:dyDescent="0.3"/>
  <cols>
    <col min="1" max="1" width="14.6640625" bestFit="1" customWidth="1"/>
    <col min="2" max="2" width="41.5546875" bestFit="1" customWidth="1"/>
    <col min="3" max="3" width="61.33203125" bestFit="1" customWidth="1"/>
    <col min="4" max="4" width="108.77734375" bestFit="1" customWidth="1"/>
    <col min="5" max="5" width="49.109375" bestFit="1" customWidth="1"/>
    <col min="9" max="9" width="14.6640625" bestFit="1" customWidth="1"/>
    <col min="10" max="10" width="41.5546875" bestFit="1" customWidth="1"/>
    <col min="11" max="11" width="15.44140625" bestFit="1" customWidth="1"/>
    <col min="18" max="18" width="15.44140625" bestFit="1" customWidth="1"/>
  </cols>
  <sheetData>
    <row r="1" spans="1:18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944</v>
      </c>
      <c r="I1" s="1" t="s">
        <v>0</v>
      </c>
      <c r="J1" s="1" t="s">
        <v>1</v>
      </c>
      <c r="K1" s="1" t="s">
        <v>905</v>
      </c>
      <c r="R1" s="1" t="s">
        <v>906</v>
      </c>
    </row>
    <row r="2" spans="1:18" x14ac:dyDescent="0.3">
      <c r="A2" t="s">
        <v>902</v>
      </c>
      <c r="B2" t="s">
        <v>902</v>
      </c>
      <c r="C2" t="s">
        <v>214</v>
      </c>
      <c r="D2" t="s">
        <v>215</v>
      </c>
      <c r="E2" s="10" t="str">
        <f>IF(INDEX(K:K,MATCH(A2,I:I,0))&lt;&gt;0,INDEX(K:K,MATCH(A2,I:I,0)),"")</f>
        <v>Centro</v>
      </c>
      <c r="I2" t="s">
        <v>902</v>
      </c>
      <c r="J2" t="s">
        <v>902</v>
      </c>
      <c r="K2" s="10" t="s">
        <v>909</v>
      </c>
      <c r="M2" s="14" t="s">
        <v>953</v>
      </c>
      <c r="R2" s="9" t="s">
        <v>907</v>
      </c>
    </row>
    <row r="3" spans="1:18" x14ac:dyDescent="0.3">
      <c r="A3" t="s">
        <v>902</v>
      </c>
      <c r="B3" t="s">
        <v>902</v>
      </c>
      <c r="C3" t="s">
        <v>216</v>
      </c>
      <c r="D3" t="s">
        <v>217</v>
      </c>
      <c r="E3" s="12" t="str">
        <f t="shared" ref="E3:E66" si="0">IF(INDEX(K:K,MATCH(A3,I:I,0))&lt;&gt;0,INDEX(K:K,MATCH(A3,I:I,0)),"")</f>
        <v>Centro</v>
      </c>
      <c r="I3" t="s">
        <v>899</v>
      </c>
      <c r="J3" t="s">
        <v>900</v>
      </c>
      <c r="K3" s="11" t="s">
        <v>907</v>
      </c>
      <c r="R3" s="4" t="s">
        <v>908</v>
      </c>
    </row>
    <row r="4" spans="1:18" x14ac:dyDescent="0.3">
      <c r="A4" t="s">
        <v>902</v>
      </c>
      <c r="B4" t="s">
        <v>902</v>
      </c>
      <c r="C4" t="s">
        <v>509</v>
      </c>
      <c r="D4" t="s">
        <v>510</v>
      </c>
      <c r="E4" s="12" t="str">
        <f t="shared" si="0"/>
        <v>Centro</v>
      </c>
      <c r="I4" t="s">
        <v>893</v>
      </c>
      <c r="J4" t="s">
        <v>894</v>
      </c>
      <c r="K4" s="12" t="s">
        <v>943</v>
      </c>
      <c r="R4" s="7" t="s">
        <v>909</v>
      </c>
    </row>
    <row r="5" spans="1:18" x14ac:dyDescent="0.3">
      <c r="A5" t="s">
        <v>902</v>
      </c>
      <c r="B5" t="s">
        <v>902</v>
      </c>
      <c r="C5" t="s">
        <v>28</v>
      </c>
      <c r="D5" t="s">
        <v>29</v>
      </c>
      <c r="E5" s="12" t="str">
        <f t="shared" si="0"/>
        <v>Centro</v>
      </c>
      <c r="I5" t="s">
        <v>875</v>
      </c>
      <c r="J5" t="s">
        <v>876</v>
      </c>
      <c r="K5" s="12" t="s">
        <v>909</v>
      </c>
      <c r="R5" s="6" t="s">
        <v>910</v>
      </c>
    </row>
    <row r="6" spans="1:18" x14ac:dyDescent="0.3">
      <c r="A6" t="s">
        <v>902</v>
      </c>
      <c r="B6" t="s">
        <v>902</v>
      </c>
      <c r="C6" t="s">
        <v>50</v>
      </c>
      <c r="D6" t="s">
        <v>51</v>
      </c>
      <c r="E6" s="12" t="str">
        <f t="shared" si="0"/>
        <v>Centro</v>
      </c>
      <c r="I6" t="s">
        <v>785</v>
      </c>
      <c r="J6" t="s">
        <v>786</v>
      </c>
      <c r="K6" s="12" t="s">
        <v>908</v>
      </c>
      <c r="R6" s="5" t="s">
        <v>911</v>
      </c>
    </row>
    <row r="7" spans="1:18" x14ac:dyDescent="0.3">
      <c r="A7" t="s">
        <v>902</v>
      </c>
      <c r="B7" t="s">
        <v>902</v>
      </c>
      <c r="C7" t="s">
        <v>666</v>
      </c>
      <c r="D7" t="s">
        <v>667</v>
      </c>
      <c r="E7" s="12" t="str">
        <f t="shared" si="0"/>
        <v>Centro</v>
      </c>
      <c r="I7" t="s">
        <v>282</v>
      </c>
      <c r="J7" t="s">
        <v>283</v>
      </c>
      <c r="K7" s="12" t="s">
        <v>907</v>
      </c>
      <c r="R7" s="8" t="s">
        <v>943</v>
      </c>
    </row>
    <row r="8" spans="1:18" x14ac:dyDescent="0.3">
      <c r="A8" t="s">
        <v>902</v>
      </c>
      <c r="B8" t="s">
        <v>902</v>
      </c>
      <c r="C8" t="s">
        <v>231</v>
      </c>
      <c r="D8" t="s">
        <v>232</v>
      </c>
      <c r="E8" s="12" t="str">
        <f t="shared" si="0"/>
        <v>Centro</v>
      </c>
      <c r="I8" t="s">
        <v>309</v>
      </c>
      <c r="J8" t="s">
        <v>283</v>
      </c>
      <c r="K8" s="12" t="s">
        <v>907</v>
      </c>
    </row>
    <row r="9" spans="1:18" x14ac:dyDescent="0.3">
      <c r="A9" t="s">
        <v>902</v>
      </c>
      <c r="B9" t="s">
        <v>902</v>
      </c>
      <c r="C9" t="s">
        <v>296</v>
      </c>
      <c r="D9" t="s">
        <v>297</v>
      </c>
      <c r="E9" s="12" t="str">
        <f t="shared" si="0"/>
        <v>Centro</v>
      </c>
      <c r="I9" t="s">
        <v>871</v>
      </c>
      <c r="J9" t="s">
        <v>872</v>
      </c>
      <c r="K9" s="12" t="s">
        <v>911</v>
      </c>
    </row>
    <row r="10" spans="1:18" x14ac:dyDescent="0.3">
      <c r="A10" t="s">
        <v>902</v>
      </c>
      <c r="B10" t="s">
        <v>902</v>
      </c>
      <c r="C10" t="s">
        <v>408</v>
      </c>
      <c r="D10" t="s">
        <v>409</v>
      </c>
      <c r="E10" s="12" t="str">
        <f t="shared" si="0"/>
        <v>Centro</v>
      </c>
      <c r="I10" t="s">
        <v>133</v>
      </c>
      <c r="J10" t="s">
        <v>134</v>
      </c>
      <c r="K10" s="12" t="s">
        <v>943</v>
      </c>
    </row>
    <row r="11" spans="1:18" x14ac:dyDescent="0.3">
      <c r="A11" t="s">
        <v>902</v>
      </c>
      <c r="B11" t="s">
        <v>902</v>
      </c>
      <c r="C11" t="s">
        <v>743</v>
      </c>
      <c r="D11" t="s">
        <v>744</v>
      </c>
      <c r="E11" s="12" t="str">
        <f t="shared" si="0"/>
        <v>Centro</v>
      </c>
      <c r="I11" t="s">
        <v>131</v>
      </c>
      <c r="J11" t="s">
        <v>132</v>
      </c>
      <c r="K11" s="12" t="s">
        <v>943</v>
      </c>
    </row>
    <row r="12" spans="1:18" x14ac:dyDescent="0.3">
      <c r="A12" t="s">
        <v>902</v>
      </c>
      <c r="B12" t="s">
        <v>902</v>
      </c>
      <c r="C12" t="s">
        <v>414</v>
      </c>
      <c r="D12" t="s">
        <v>415</v>
      </c>
      <c r="E12" s="12" t="str">
        <f t="shared" si="0"/>
        <v>Centro</v>
      </c>
      <c r="I12" t="s">
        <v>129</v>
      </c>
      <c r="J12" t="s">
        <v>130</v>
      </c>
      <c r="K12" s="12" t="s">
        <v>943</v>
      </c>
    </row>
    <row r="13" spans="1:18" x14ac:dyDescent="0.3">
      <c r="A13" t="s">
        <v>902</v>
      </c>
      <c r="B13" t="s">
        <v>902</v>
      </c>
      <c r="C13" t="s">
        <v>302</v>
      </c>
      <c r="D13" t="s">
        <v>303</v>
      </c>
      <c r="E13" s="12" t="str">
        <f t="shared" si="0"/>
        <v>Centro</v>
      </c>
      <c r="I13" t="s">
        <v>127</v>
      </c>
      <c r="J13" t="s">
        <v>128</v>
      </c>
      <c r="K13" s="12" t="s">
        <v>943</v>
      </c>
    </row>
    <row r="14" spans="1:18" x14ac:dyDescent="0.3">
      <c r="A14" t="s">
        <v>902</v>
      </c>
      <c r="B14" t="s">
        <v>902</v>
      </c>
      <c r="C14" t="s">
        <v>36</v>
      </c>
      <c r="D14" t="s">
        <v>37</v>
      </c>
      <c r="E14" s="12" t="str">
        <f t="shared" si="0"/>
        <v>Centro</v>
      </c>
      <c r="I14" t="s">
        <v>125</v>
      </c>
      <c r="J14" t="s">
        <v>126</v>
      </c>
      <c r="K14" s="12" t="s">
        <v>943</v>
      </c>
    </row>
    <row r="15" spans="1:18" x14ac:dyDescent="0.3">
      <c r="A15" t="s">
        <v>902</v>
      </c>
      <c r="B15" t="s">
        <v>902</v>
      </c>
      <c r="C15" t="s">
        <v>668</v>
      </c>
      <c r="D15" t="s">
        <v>669</v>
      </c>
      <c r="E15" s="12" t="str">
        <f t="shared" si="0"/>
        <v>Centro</v>
      </c>
      <c r="I15" t="s">
        <v>123</v>
      </c>
      <c r="J15" t="s">
        <v>124</v>
      </c>
      <c r="K15" s="12" t="s">
        <v>943</v>
      </c>
    </row>
    <row r="16" spans="1:18" x14ac:dyDescent="0.3">
      <c r="A16" t="s">
        <v>902</v>
      </c>
      <c r="B16" t="s">
        <v>902</v>
      </c>
      <c r="C16" t="s">
        <v>42</v>
      </c>
      <c r="D16" t="s">
        <v>43</v>
      </c>
      <c r="E16" s="12" t="str">
        <f t="shared" si="0"/>
        <v>Centro</v>
      </c>
      <c r="I16" t="s">
        <v>121</v>
      </c>
      <c r="J16" t="s">
        <v>122</v>
      </c>
      <c r="K16" s="12" t="s">
        <v>943</v>
      </c>
    </row>
    <row r="17" spans="1:11" x14ac:dyDescent="0.3">
      <c r="A17" t="s">
        <v>902</v>
      </c>
      <c r="B17" t="s">
        <v>902</v>
      </c>
      <c r="C17" t="s">
        <v>837</v>
      </c>
      <c r="D17" t="s">
        <v>838</v>
      </c>
      <c r="E17" s="12" t="str">
        <f t="shared" si="0"/>
        <v>Centro</v>
      </c>
      <c r="I17" t="s">
        <v>119</v>
      </c>
      <c r="J17" t="s">
        <v>120</v>
      </c>
      <c r="K17" s="12" t="s">
        <v>943</v>
      </c>
    </row>
    <row r="18" spans="1:11" x14ac:dyDescent="0.3">
      <c r="A18" t="s">
        <v>902</v>
      </c>
      <c r="B18" t="s">
        <v>902</v>
      </c>
      <c r="C18" t="s">
        <v>251</v>
      </c>
      <c r="D18" t="s">
        <v>252</v>
      </c>
      <c r="E18" s="12" t="str">
        <f t="shared" si="0"/>
        <v>Centro</v>
      </c>
      <c r="I18" t="s">
        <v>117</v>
      </c>
      <c r="J18" t="s">
        <v>118</v>
      </c>
      <c r="K18" s="12" t="s">
        <v>943</v>
      </c>
    </row>
    <row r="19" spans="1:11" x14ac:dyDescent="0.3">
      <c r="A19" t="s">
        <v>902</v>
      </c>
      <c r="B19" t="s">
        <v>902</v>
      </c>
      <c r="C19" t="s">
        <v>383</v>
      </c>
      <c r="D19" t="s">
        <v>384</v>
      </c>
      <c r="E19" s="12" t="str">
        <f t="shared" si="0"/>
        <v>Centro</v>
      </c>
      <c r="I19" t="s">
        <v>115</v>
      </c>
      <c r="J19" t="s">
        <v>116</v>
      </c>
      <c r="K19" s="12" t="s">
        <v>943</v>
      </c>
    </row>
    <row r="20" spans="1:11" x14ac:dyDescent="0.3">
      <c r="A20" t="s">
        <v>902</v>
      </c>
      <c r="B20" t="s">
        <v>902</v>
      </c>
      <c r="C20" t="s">
        <v>695</v>
      </c>
      <c r="D20" t="s">
        <v>696</v>
      </c>
      <c r="E20" s="12" t="str">
        <f t="shared" si="0"/>
        <v>Centro</v>
      </c>
      <c r="I20" t="s">
        <v>113</v>
      </c>
      <c r="J20" t="s">
        <v>114</v>
      </c>
      <c r="K20" s="12" t="s">
        <v>943</v>
      </c>
    </row>
    <row r="21" spans="1:11" x14ac:dyDescent="0.3">
      <c r="A21" t="s">
        <v>902</v>
      </c>
      <c r="B21" t="s">
        <v>902</v>
      </c>
      <c r="C21" t="s">
        <v>593</v>
      </c>
      <c r="D21" t="s">
        <v>594</v>
      </c>
      <c r="E21" s="12" t="str">
        <f t="shared" si="0"/>
        <v>Centro</v>
      </c>
      <c r="I21" t="s">
        <v>111</v>
      </c>
      <c r="J21" t="s">
        <v>112</v>
      </c>
      <c r="K21" s="12" t="s">
        <v>943</v>
      </c>
    </row>
    <row r="22" spans="1:11" x14ac:dyDescent="0.3">
      <c r="A22" t="s">
        <v>902</v>
      </c>
      <c r="B22" t="s">
        <v>902</v>
      </c>
      <c r="C22" t="s">
        <v>66</v>
      </c>
      <c r="D22" t="s">
        <v>67</v>
      </c>
      <c r="E22" s="12" t="str">
        <f t="shared" si="0"/>
        <v>Centro</v>
      </c>
      <c r="I22" t="s">
        <v>109</v>
      </c>
      <c r="J22" t="s">
        <v>110</v>
      </c>
      <c r="K22" s="12" t="s">
        <v>943</v>
      </c>
    </row>
    <row r="23" spans="1:11" x14ac:dyDescent="0.3">
      <c r="A23" t="s">
        <v>902</v>
      </c>
      <c r="B23" t="s">
        <v>902</v>
      </c>
      <c r="C23" t="s">
        <v>710</v>
      </c>
      <c r="D23" t="s">
        <v>711</v>
      </c>
      <c r="E23" s="12" t="str">
        <f t="shared" si="0"/>
        <v>Centro</v>
      </c>
      <c r="I23" t="s">
        <v>107</v>
      </c>
      <c r="J23" t="s">
        <v>108</v>
      </c>
      <c r="K23" s="12" t="s">
        <v>943</v>
      </c>
    </row>
    <row r="24" spans="1:11" x14ac:dyDescent="0.3">
      <c r="A24" t="s">
        <v>902</v>
      </c>
      <c r="B24" t="s">
        <v>902</v>
      </c>
      <c r="C24" t="s">
        <v>157</v>
      </c>
      <c r="D24" t="s">
        <v>158</v>
      </c>
      <c r="E24" s="12" t="str">
        <f t="shared" si="0"/>
        <v>Centro</v>
      </c>
      <c r="I24" t="s">
        <v>105</v>
      </c>
      <c r="J24" t="s">
        <v>106</v>
      </c>
      <c r="K24" s="12" t="s">
        <v>943</v>
      </c>
    </row>
    <row r="25" spans="1:11" x14ac:dyDescent="0.3">
      <c r="A25" t="s">
        <v>902</v>
      </c>
      <c r="B25" t="s">
        <v>902</v>
      </c>
      <c r="C25" t="s">
        <v>705</v>
      </c>
      <c r="D25" t="s">
        <v>706</v>
      </c>
      <c r="E25" s="12" t="str">
        <f t="shared" si="0"/>
        <v>Centro</v>
      </c>
      <c r="I25" t="s">
        <v>103</v>
      </c>
      <c r="J25" t="s">
        <v>104</v>
      </c>
      <c r="K25" s="12" t="s">
        <v>943</v>
      </c>
    </row>
    <row r="26" spans="1:11" x14ac:dyDescent="0.3">
      <c r="A26" t="s">
        <v>902</v>
      </c>
      <c r="B26" t="s">
        <v>902</v>
      </c>
      <c r="C26" t="s">
        <v>379</v>
      </c>
      <c r="D26" t="s">
        <v>380</v>
      </c>
      <c r="E26" s="12" t="str">
        <f t="shared" si="0"/>
        <v>Centro</v>
      </c>
      <c r="I26" t="s">
        <v>101</v>
      </c>
      <c r="J26" t="s">
        <v>102</v>
      </c>
      <c r="K26" s="12" t="s">
        <v>943</v>
      </c>
    </row>
    <row r="27" spans="1:11" x14ac:dyDescent="0.3">
      <c r="A27" t="s">
        <v>902</v>
      </c>
      <c r="B27" t="s">
        <v>902</v>
      </c>
      <c r="C27" t="s">
        <v>903</v>
      </c>
      <c r="D27" t="s">
        <v>904</v>
      </c>
      <c r="E27" s="12" t="str">
        <f t="shared" si="0"/>
        <v>Centro</v>
      </c>
      <c r="I27" t="s">
        <v>873</v>
      </c>
      <c r="J27" t="s">
        <v>874</v>
      </c>
      <c r="K27" s="12" t="s">
        <v>911</v>
      </c>
    </row>
    <row r="28" spans="1:11" x14ac:dyDescent="0.3">
      <c r="A28" t="s">
        <v>902</v>
      </c>
      <c r="B28" t="s">
        <v>902</v>
      </c>
      <c r="C28" t="s">
        <v>247</v>
      </c>
      <c r="D28" t="s">
        <v>248</v>
      </c>
      <c r="E28" s="12" t="str">
        <f t="shared" si="0"/>
        <v>Centro</v>
      </c>
      <c r="I28" t="s">
        <v>869</v>
      </c>
      <c r="J28" t="s">
        <v>870</v>
      </c>
      <c r="K28" s="12" t="s">
        <v>911</v>
      </c>
    </row>
    <row r="29" spans="1:11" x14ac:dyDescent="0.3">
      <c r="A29" t="s">
        <v>902</v>
      </c>
      <c r="B29" t="s">
        <v>902</v>
      </c>
      <c r="C29" t="s">
        <v>723</v>
      </c>
      <c r="D29" t="s">
        <v>724</v>
      </c>
      <c r="E29" s="12" t="str">
        <f t="shared" si="0"/>
        <v>Centro</v>
      </c>
      <c r="I29" t="s">
        <v>817</v>
      </c>
      <c r="J29" t="s">
        <v>818</v>
      </c>
      <c r="K29" s="12" t="s">
        <v>910</v>
      </c>
    </row>
    <row r="30" spans="1:11" x14ac:dyDescent="0.3">
      <c r="A30" t="s">
        <v>902</v>
      </c>
      <c r="B30" t="s">
        <v>902</v>
      </c>
      <c r="C30" t="s">
        <v>100</v>
      </c>
      <c r="D30" t="s">
        <v>902</v>
      </c>
      <c r="E30" s="12" t="str">
        <f t="shared" si="0"/>
        <v>Centro</v>
      </c>
      <c r="I30" t="s">
        <v>787</v>
      </c>
      <c r="J30" t="s">
        <v>788</v>
      </c>
      <c r="K30" s="12" t="s">
        <v>908</v>
      </c>
    </row>
    <row r="31" spans="1:11" x14ac:dyDescent="0.3">
      <c r="A31" t="s">
        <v>902</v>
      </c>
      <c r="B31" t="s">
        <v>902</v>
      </c>
      <c r="C31" t="s">
        <v>261</v>
      </c>
      <c r="D31" t="s">
        <v>262</v>
      </c>
      <c r="E31" s="12" t="str">
        <f t="shared" si="0"/>
        <v>Centro</v>
      </c>
      <c r="I31" t="s">
        <v>864</v>
      </c>
      <c r="J31" t="s">
        <v>865</v>
      </c>
      <c r="K31" s="12" t="s">
        <v>909</v>
      </c>
    </row>
    <row r="32" spans="1:11" x14ac:dyDescent="0.3">
      <c r="A32" t="s">
        <v>902</v>
      </c>
      <c r="B32" t="s">
        <v>902</v>
      </c>
      <c r="C32" t="s">
        <v>432</v>
      </c>
      <c r="D32" t="s">
        <v>433</v>
      </c>
      <c r="E32" s="12" t="str">
        <f t="shared" si="0"/>
        <v>Centro</v>
      </c>
      <c r="I32" t="s">
        <v>866</v>
      </c>
      <c r="J32" t="s">
        <v>867</v>
      </c>
      <c r="K32" s="12" t="s">
        <v>910</v>
      </c>
    </row>
    <row r="33" spans="1:11" x14ac:dyDescent="0.3">
      <c r="A33" t="s">
        <v>902</v>
      </c>
      <c r="B33" t="s">
        <v>902</v>
      </c>
      <c r="C33" t="s">
        <v>504</v>
      </c>
      <c r="D33" t="s">
        <v>505</v>
      </c>
      <c r="E33" s="12" t="str">
        <f t="shared" si="0"/>
        <v>Centro</v>
      </c>
      <c r="I33" t="s">
        <v>206</v>
      </c>
      <c r="J33" t="s">
        <v>207</v>
      </c>
      <c r="K33" s="12" t="s">
        <v>908</v>
      </c>
    </row>
    <row r="34" spans="1:11" x14ac:dyDescent="0.3">
      <c r="A34" t="s">
        <v>902</v>
      </c>
      <c r="B34" t="s">
        <v>902</v>
      </c>
      <c r="C34" t="s">
        <v>426</v>
      </c>
      <c r="D34" t="s">
        <v>427</v>
      </c>
      <c r="E34" s="12" t="str">
        <f t="shared" si="0"/>
        <v>Centro</v>
      </c>
      <c r="I34" t="s">
        <v>756</v>
      </c>
      <c r="J34" t="s">
        <v>757</v>
      </c>
      <c r="K34" s="12" t="s">
        <v>908</v>
      </c>
    </row>
    <row r="35" spans="1:11" x14ac:dyDescent="0.3">
      <c r="A35" t="s">
        <v>902</v>
      </c>
      <c r="B35" t="s">
        <v>902</v>
      </c>
      <c r="C35" t="s">
        <v>165</v>
      </c>
      <c r="D35" t="s">
        <v>166</v>
      </c>
      <c r="E35" s="12" t="str">
        <f t="shared" si="0"/>
        <v>Centro</v>
      </c>
      <c r="I35" t="s">
        <v>783</v>
      </c>
      <c r="J35" t="s">
        <v>784</v>
      </c>
      <c r="K35" s="12" t="s">
        <v>911</v>
      </c>
    </row>
    <row r="36" spans="1:11" x14ac:dyDescent="0.3">
      <c r="A36" t="s">
        <v>902</v>
      </c>
      <c r="B36" t="s">
        <v>902</v>
      </c>
      <c r="C36" t="s">
        <v>60</v>
      </c>
      <c r="D36" t="s">
        <v>61</v>
      </c>
      <c r="E36" s="12" t="str">
        <f t="shared" si="0"/>
        <v>Centro</v>
      </c>
      <c r="I36" t="s">
        <v>770</v>
      </c>
      <c r="J36" t="s">
        <v>771</v>
      </c>
      <c r="K36" s="12" t="s">
        <v>911</v>
      </c>
    </row>
    <row r="37" spans="1:11" x14ac:dyDescent="0.3">
      <c r="A37" t="s">
        <v>902</v>
      </c>
      <c r="B37" t="s">
        <v>902</v>
      </c>
      <c r="C37" t="s">
        <v>62</v>
      </c>
      <c r="D37" t="s">
        <v>63</v>
      </c>
      <c r="E37" s="12" t="str">
        <f t="shared" si="0"/>
        <v>Centro</v>
      </c>
      <c r="I37" t="s">
        <v>857</v>
      </c>
      <c r="J37" t="s">
        <v>858</v>
      </c>
      <c r="K37" s="12" t="s">
        <v>908</v>
      </c>
    </row>
    <row r="38" spans="1:11" x14ac:dyDescent="0.3">
      <c r="A38" t="s">
        <v>902</v>
      </c>
      <c r="B38" t="s">
        <v>902</v>
      </c>
      <c r="C38" t="s">
        <v>80</v>
      </c>
      <c r="D38" t="s">
        <v>81</v>
      </c>
      <c r="E38" s="12" t="str">
        <f t="shared" si="0"/>
        <v>Centro</v>
      </c>
      <c r="I38" t="s">
        <v>716</v>
      </c>
      <c r="J38" t="s">
        <v>717</v>
      </c>
      <c r="K38" s="12" t="s">
        <v>908</v>
      </c>
    </row>
    <row r="39" spans="1:11" x14ac:dyDescent="0.3">
      <c r="A39" t="s">
        <v>902</v>
      </c>
      <c r="B39" t="s">
        <v>902</v>
      </c>
      <c r="C39" t="s">
        <v>192</v>
      </c>
      <c r="D39" t="s">
        <v>193</v>
      </c>
      <c r="E39" s="12" t="str">
        <f t="shared" si="0"/>
        <v>Centro</v>
      </c>
      <c r="I39" t="s">
        <v>690</v>
      </c>
      <c r="J39" t="s">
        <v>691</v>
      </c>
      <c r="K39" s="12" t="s">
        <v>909</v>
      </c>
    </row>
    <row r="40" spans="1:11" x14ac:dyDescent="0.3">
      <c r="A40" t="s">
        <v>902</v>
      </c>
      <c r="B40" t="s">
        <v>902</v>
      </c>
      <c r="C40" t="s">
        <v>731</v>
      </c>
      <c r="D40" t="s">
        <v>732</v>
      </c>
      <c r="E40" s="12" t="str">
        <f t="shared" si="0"/>
        <v>Centro</v>
      </c>
      <c r="I40" t="s">
        <v>664</v>
      </c>
      <c r="J40" t="s">
        <v>665</v>
      </c>
      <c r="K40" s="12" t="s">
        <v>908</v>
      </c>
    </row>
    <row r="41" spans="1:11" x14ac:dyDescent="0.3">
      <c r="A41" t="s">
        <v>902</v>
      </c>
      <c r="B41" t="s">
        <v>902</v>
      </c>
      <c r="C41" t="s">
        <v>733</v>
      </c>
      <c r="D41" t="s">
        <v>734</v>
      </c>
      <c r="E41" s="12" t="str">
        <f t="shared" si="0"/>
        <v>Centro</v>
      </c>
      <c r="I41" t="s">
        <v>737</v>
      </c>
      <c r="J41" t="s">
        <v>738</v>
      </c>
      <c r="K41" s="12" t="s">
        <v>907</v>
      </c>
    </row>
    <row r="42" spans="1:11" x14ac:dyDescent="0.3">
      <c r="A42" t="s">
        <v>899</v>
      </c>
      <c r="B42" t="s">
        <v>900</v>
      </c>
      <c r="C42" t="s">
        <v>649</v>
      </c>
      <c r="D42" t="s">
        <v>650</v>
      </c>
      <c r="E42" s="12" t="str">
        <f t="shared" si="0"/>
        <v>Direita</v>
      </c>
      <c r="I42" t="s">
        <v>488</v>
      </c>
      <c r="J42" t="s">
        <v>489</v>
      </c>
      <c r="K42" s="12" t="s">
        <v>911</v>
      </c>
    </row>
    <row r="43" spans="1:11" x14ac:dyDescent="0.3">
      <c r="A43" t="s">
        <v>899</v>
      </c>
      <c r="B43" t="s">
        <v>900</v>
      </c>
      <c r="C43" t="s">
        <v>442</v>
      </c>
      <c r="D43" t="s">
        <v>443</v>
      </c>
      <c r="E43" s="12" t="str">
        <f t="shared" si="0"/>
        <v>Direita</v>
      </c>
      <c r="I43" t="s">
        <v>641</v>
      </c>
      <c r="J43" t="s">
        <v>642</v>
      </c>
      <c r="K43" s="12" t="s">
        <v>908</v>
      </c>
    </row>
    <row r="44" spans="1:11" x14ac:dyDescent="0.3">
      <c r="A44" t="s">
        <v>899</v>
      </c>
      <c r="B44" t="s">
        <v>900</v>
      </c>
      <c r="C44" t="s">
        <v>739</v>
      </c>
      <c r="D44" t="s">
        <v>740</v>
      </c>
      <c r="E44" s="12" t="str">
        <f t="shared" si="0"/>
        <v>Direita</v>
      </c>
      <c r="I44" t="s">
        <v>599</v>
      </c>
      <c r="J44" t="s">
        <v>600</v>
      </c>
      <c r="K44" s="12" t="s">
        <v>909</v>
      </c>
    </row>
    <row r="45" spans="1:11" x14ac:dyDescent="0.3">
      <c r="A45" t="s">
        <v>899</v>
      </c>
      <c r="B45" t="s">
        <v>900</v>
      </c>
      <c r="C45" t="s">
        <v>500</v>
      </c>
      <c r="D45" t="s">
        <v>501</v>
      </c>
      <c r="E45" s="12" t="str">
        <f t="shared" si="0"/>
        <v>Direita</v>
      </c>
      <c r="I45" t="s">
        <v>831</v>
      </c>
      <c r="J45" t="s">
        <v>832</v>
      </c>
      <c r="K45" s="12" t="s">
        <v>910</v>
      </c>
    </row>
    <row r="46" spans="1:11" x14ac:dyDescent="0.3">
      <c r="A46" t="s">
        <v>899</v>
      </c>
      <c r="B46" t="s">
        <v>900</v>
      </c>
      <c r="C46" t="s">
        <v>416</v>
      </c>
      <c r="D46" t="s">
        <v>417</v>
      </c>
      <c r="E46" s="12" t="str">
        <f t="shared" si="0"/>
        <v>Direita</v>
      </c>
      <c r="I46" t="s">
        <v>558</v>
      </c>
      <c r="J46" t="s">
        <v>559</v>
      </c>
      <c r="K46" s="12" t="s">
        <v>907</v>
      </c>
    </row>
    <row r="47" spans="1:11" x14ac:dyDescent="0.3">
      <c r="A47" t="s">
        <v>899</v>
      </c>
      <c r="B47" t="s">
        <v>900</v>
      </c>
      <c r="C47" t="s">
        <v>408</v>
      </c>
      <c r="D47" t="s">
        <v>409</v>
      </c>
      <c r="E47" s="12" t="str">
        <f t="shared" si="0"/>
        <v>Direita</v>
      </c>
      <c r="I47" t="s">
        <v>540</v>
      </c>
      <c r="J47" t="s">
        <v>541</v>
      </c>
      <c r="K47" s="12" t="s">
        <v>911</v>
      </c>
    </row>
    <row r="48" spans="1:11" x14ac:dyDescent="0.3">
      <c r="A48" t="s">
        <v>899</v>
      </c>
      <c r="B48" t="s">
        <v>900</v>
      </c>
      <c r="C48" t="s">
        <v>18</v>
      </c>
      <c r="D48" t="s">
        <v>19</v>
      </c>
      <c r="E48" s="12" t="str">
        <f t="shared" si="0"/>
        <v>Direita</v>
      </c>
      <c r="I48" t="s">
        <v>484</v>
      </c>
      <c r="J48" t="s">
        <v>485</v>
      </c>
      <c r="K48" s="12" t="s">
        <v>911</v>
      </c>
    </row>
    <row r="49" spans="1:11" x14ac:dyDescent="0.3">
      <c r="A49" t="s">
        <v>899</v>
      </c>
      <c r="B49" t="s">
        <v>900</v>
      </c>
      <c r="C49" t="s">
        <v>562</v>
      </c>
      <c r="D49" t="s">
        <v>563</v>
      </c>
      <c r="E49" s="12" t="str">
        <f t="shared" si="0"/>
        <v>Direita</v>
      </c>
      <c r="I49" t="s">
        <v>799</v>
      </c>
      <c r="J49" t="s">
        <v>800</v>
      </c>
      <c r="K49" s="12" t="s">
        <v>911</v>
      </c>
    </row>
    <row r="50" spans="1:11" x14ac:dyDescent="0.3">
      <c r="A50" t="s">
        <v>899</v>
      </c>
      <c r="B50" t="s">
        <v>900</v>
      </c>
      <c r="C50" t="s">
        <v>139</v>
      </c>
      <c r="D50" t="s">
        <v>140</v>
      </c>
      <c r="E50" s="12" t="str">
        <f t="shared" si="0"/>
        <v>Direita</v>
      </c>
      <c r="I50" t="s">
        <v>440</v>
      </c>
      <c r="J50" t="s">
        <v>441</v>
      </c>
      <c r="K50" s="12" t="s">
        <v>911</v>
      </c>
    </row>
    <row r="51" spans="1:11" x14ac:dyDescent="0.3">
      <c r="A51" t="s">
        <v>899</v>
      </c>
      <c r="B51" t="s">
        <v>900</v>
      </c>
      <c r="C51" t="s">
        <v>141</v>
      </c>
      <c r="D51" t="s">
        <v>142</v>
      </c>
      <c r="E51" s="12" t="str">
        <f t="shared" si="0"/>
        <v>Direita</v>
      </c>
      <c r="I51" t="s">
        <v>388</v>
      </c>
      <c r="J51" t="s">
        <v>389</v>
      </c>
      <c r="K51" s="12" t="s">
        <v>908</v>
      </c>
    </row>
    <row r="52" spans="1:11" x14ac:dyDescent="0.3">
      <c r="A52" t="s">
        <v>899</v>
      </c>
      <c r="B52" t="s">
        <v>900</v>
      </c>
      <c r="C52" t="s">
        <v>12</v>
      </c>
      <c r="D52" t="s">
        <v>13</v>
      </c>
      <c r="E52" s="12" t="str">
        <f t="shared" si="0"/>
        <v>Direita</v>
      </c>
      <c r="I52" t="s">
        <v>334</v>
      </c>
      <c r="J52" t="s">
        <v>335</v>
      </c>
      <c r="K52" s="12" t="s">
        <v>910</v>
      </c>
    </row>
    <row r="53" spans="1:11" x14ac:dyDescent="0.3">
      <c r="A53" t="s">
        <v>899</v>
      </c>
      <c r="B53" t="s">
        <v>900</v>
      </c>
      <c r="C53" t="s">
        <v>741</v>
      </c>
      <c r="D53" t="s">
        <v>742</v>
      </c>
      <c r="E53" s="12" t="str">
        <f t="shared" si="0"/>
        <v>Direita</v>
      </c>
      <c r="I53" t="s">
        <v>135</v>
      </c>
      <c r="J53" t="s">
        <v>136</v>
      </c>
      <c r="K53" s="12" t="s">
        <v>910</v>
      </c>
    </row>
    <row r="54" spans="1:11" ht="15" thickBot="1" x14ac:dyDescent="0.35">
      <c r="A54" t="s">
        <v>899</v>
      </c>
      <c r="B54" t="s">
        <v>900</v>
      </c>
      <c r="C54" t="s">
        <v>877</v>
      </c>
      <c r="D54" t="s">
        <v>878</v>
      </c>
      <c r="E54" s="12" t="str">
        <f t="shared" si="0"/>
        <v>Direita</v>
      </c>
      <c r="I54" t="s">
        <v>4</v>
      </c>
      <c r="J54" t="s">
        <v>5</v>
      </c>
      <c r="K54" s="13" t="s">
        <v>911</v>
      </c>
    </row>
    <row r="55" spans="1:11" x14ac:dyDescent="0.3">
      <c r="A55" t="s">
        <v>899</v>
      </c>
      <c r="B55" t="s">
        <v>900</v>
      </c>
      <c r="C55" t="s">
        <v>404</v>
      </c>
      <c r="D55" t="s">
        <v>405</v>
      </c>
      <c r="E55" s="12" t="str">
        <f t="shared" si="0"/>
        <v>Direita</v>
      </c>
    </row>
    <row r="56" spans="1:11" x14ac:dyDescent="0.3">
      <c r="A56" t="s">
        <v>899</v>
      </c>
      <c r="B56" t="s">
        <v>900</v>
      </c>
      <c r="C56" t="s">
        <v>406</v>
      </c>
      <c r="D56" t="s">
        <v>407</v>
      </c>
      <c r="E56" s="12" t="str">
        <f t="shared" si="0"/>
        <v>Direita</v>
      </c>
    </row>
    <row r="57" spans="1:11" x14ac:dyDescent="0.3">
      <c r="A57" t="s">
        <v>899</v>
      </c>
      <c r="B57" t="s">
        <v>900</v>
      </c>
      <c r="C57" t="s">
        <v>611</v>
      </c>
      <c r="D57" t="s">
        <v>612</v>
      </c>
      <c r="E57" s="12" t="str">
        <f t="shared" si="0"/>
        <v>Direita</v>
      </c>
    </row>
    <row r="58" spans="1:11" x14ac:dyDescent="0.3">
      <c r="A58" t="s">
        <v>899</v>
      </c>
      <c r="B58" t="s">
        <v>900</v>
      </c>
      <c r="C58" t="s">
        <v>56</v>
      </c>
      <c r="D58" t="s">
        <v>57</v>
      </c>
      <c r="E58" s="12" t="str">
        <f t="shared" si="0"/>
        <v>Direita</v>
      </c>
    </row>
    <row r="59" spans="1:11" x14ac:dyDescent="0.3">
      <c r="A59" t="s">
        <v>899</v>
      </c>
      <c r="B59" t="s">
        <v>900</v>
      </c>
      <c r="C59" t="s">
        <v>780</v>
      </c>
      <c r="D59" t="s">
        <v>777</v>
      </c>
      <c r="E59" s="12" t="str">
        <f t="shared" si="0"/>
        <v>Direita</v>
      </c>
    </row>
    <row r="60" spans="1:11" x14ac:dyDescent="0.3">
      <c r="A60" t="s">
        <v>899</v>
      </c>
      <c r="B60" t="s">
        <v>900</v>
      </c>
      <c r="C60" t="s">
        <v>721</v>
      </c>
      <c r="D60" t="s">
        <v>722</v>
      </c>
      <c r="E60" s="12" t="str">
        <f t="shared" si="0"/>
        <v>Direita</v>
      </c>
    </row>
    <row r="61" spans="1:11" x14ac:dyDescent="0.3">
      <c r="A61" t="s">
        <v>899</v>
      </c>
      <c r="B61" t="s">
        <v>900</v>
      </c>
      <c r="C61" t="s">
        <v>296</v>
      </c>
      <c r="D61" t="s">
        <v>297</v>
      </c>
      <c r="E61" s="12" t="str">
        <f t="shared" si="0"/>
        <v>Direita</v>
      </c>
    </row>
    <row r="62" spans="1:11" x14ac:dyDescent="0.3">
      <c r="A62" t="s">
        <v>899</v>
      </c>
      <c r="B62" t="s">
        <v>900</v>
      </c>
      <c r="C62" t="s">
        <v>82</v>
      </c>
      <c r="D62" t="s">
        <v>83</v>
      </c>
      <c r="E62" s="12" t="str">
        <f t="shared" si="0"/>
        <v>Direita</v>
      </c>
    </row>
    <row r="63" spans="1:11" x14ac:dyDescent="0.3">
      <c r="A63" t="s">
        <v>899</v>
      </c>
      <c r="B63" t="s">
        <v>900</v>
      </c>
      <c r="C63" t="s">
        <v>901</v>
      </c>
      <c r="D63" t="s">
        <v>565</v>
      </c>
      <c r="E63" s="12" t="str">
        <f t="shared" si="0"/>
        <v>Direita</v>
      </c>
    </row>
    <row r="64" spans="1:11" x14ac:dyDescent="0.3">
      <c r="A64" t="s">
        <v>899</v>
      </c>
      <c r="B64" t="s">
        <v>900</v>
      </c>
      <c r="C64" t="s">
        <v>86</v>
      </c>
      <c r="D64" t="s">
        <v>87</v>
      </c>
      <c r="E64" s="12" t="str">
        <f t="shared" si="0"/>
        <v>Direita</v>
      </c>
    </row>
    <row r="65" spans="1:5" x14ac:dyDescent="0.3">
      <c r="A65" t="s">
        <v>899</v>
      </c>
      <c r="B65" t="s">
        <v>900</v>
      </c>
      <c r="C65" t="s">
        <v>84</v>
      </c>
      <c r="D65" t="s">
        <v>85</v>
      </c>
      <c r="E65" s="12" t="str">
        <f t="shared" si="0"/>
        <v>Direita</v>
      </c>
    </row>
    <row r="66" spans="1:5" x14ac:dyDescent="0.3">
      <c r="A66" t="s">
        <v>899</v>
      </c>
      <c r="B66" t="s">
        <v>900</v>
      </c>
      <c r="C66" t="s">
        <v>328</v>
      </c>
      <c r="D66" t="s">
        <v>329</v>
      </c>
      <c r="E66" s="12" t="str">
        <f t="shared" si="0"/>
        <v>Direita</v>
      </c>
    </row>
    <row r="67" spans="1:5" x14ac:dyDescent="0.3">
      <c r="A67" t="s">
        <v>899</v>
      </c>
      <c r="B67" t="s">
        <v>900</v>
      </c>
      <c r="C67" t="s">
        <v>422</v>
      </c>
      <c r="D67" t="s">
        <v>423</v>
      </c>
      <c r="E67" s="12" t="str">
        <f t="shared" ref="E67:E130" si="1">IF(INDEX(K:K,MATCH(A67,I:I,0))&lt;&gt;0,INDEX(K:K,MATCH(A67,I:I,0)),"")</f>
        <v>Direita</v>
      </c>
    </row>
    <row r="68" spans="1:5" x14ac:dyDescent="0.3">
      <c r="A68" t="s">
        <v>899</v>
      </c>
      <c r="B68" t="s">
        <v>900</v>
      </c>
      <c r="C68" t="s">
        <v>198</v>
      </c>
      <c r="D68" t="s">
        <v>199</v>
      </c>
      <c r="E68" s="12" t="str">
        <f t="shared" si="1"/>
        <v>Direita</v>
      </c>
    </row>
    <row r="69" spans="1:5" x14ac:dyDescent="0.3">
      <c r="A69" t="s">
        <v>899</v>
      </c>
      <c r="B69" t="s">
        <v>900</v>
      </c>
      <c r="C69" t="s">
        <v>564</v>
      </c>
      <c r="D69" t="s">
        <v>565</v>
      </c>
      <c r="E69" s="12" t="str">
        <f t="shared" si="1"/>
        <v>Direita</v>
      </c>
    </row>
    <row r="70" spans="1:5" x14ac:dyDescent="0.3">
      <c r="A70" t="s">
        <v>899</v>
      </c>
      <c r="B70" t="s">
        <v>900</v>
      </c>
      <c r="C70" t="s">
        <v>776</v>
      </c>
      <c r="D70" t="s">
        <v>777</v>
      </c>
      <c r="E70" s="12" t="str">
        <f t="shared" si="1"/>
        <v>Direita</v>
      </c>
    </row>
    <row r="71" spans="1:5" x14ac:dyDescent="0.3">
      <c r="A71" t="s">
        <v>899</v>
      </c>
      <c r="B71" t="s">
        <v>900</v>
      </c>
      <c r="C71" t="s">
        <v>597</v>
      </c>
      <c r="D71" t="s">
        <v>598</v>
      </c>
      <c r="E71" s="12" t="str">
        <f t="shared" si="1"/>
        <v>Direita</v>
      </c>
    </row>
    <row r="72" spans="1:5" x14ac:dyDescent="0.3">
      <c r="A72" t="s">
        <v>899</v>
      </c>
      <c r="B72" t="s">
        <v>900</v>
      </c>
      <c r="C72" t="s">
        <v>513</v>
      </c>
      <c r="D72" t="s">
        <v>514</v>
      </c>
      <c r="E72" s="12" t="str">
        <f t="shared" si="1"/>
        <v>Direita</v>
      </c>
    </row>
    <row r="73" spans="1:5" x14ac:dyDescent="0.3">
      <c r="A73" t="s">
        <v>899</v>
      </c>
      <c r="B73" t="s">
        <v>900</v>
      </c>
      <c r="C73" t="s">
        <v>855</v>
      </c>
      <c r="D73" t="s">
        <v>856</v>
      </c>
      <c r="E73" s="12" t="str">
        <f t="shared" si="1"/>
        <v>Direita</v>
      </c>
    </row>
    <row r="74" spans="1:5" x14ac:dyDescent="0.3">
      <c r="A74" t="s">
        <v>899</v>
      </c>
      <c r="B74" t="s">
        <v>900</v>
      </c>
      <c r="C74" t="s">
        <v>100</v>
      </c>
      <c r="D74" t="s">
        <v>899</v>
      </c>
      <c r="E74" s="12" t="str">
        <f t="shared" si="1"/>
        <v>Direita</v>
      </c>
    </row>
    <row r="75" spans="1:5" x14ac:dyDescent="0.3">
      <c r="A75" t="s">
        <v>899</v>
      </c>
      <c r="B75" t="s">
        <v>900</v>
      </c>
      <c r="C75" t="s">
        <v>631</v>
      </c>
      <c r="D75" t="s">
        <v>632</v>
      </c>
      <c r="E75" s="12" t="str">
        <f t="shared" si="1"/>
        <v>Direita</v>
      </c>
    </row>
    <row r="76" spans="1:5" x14ac:dyDescent="0.3">
      <c r="A76" t="s">
        <v>899</v>
      </c>
      <c r="B76" t="s">
        <v>900</v>
      </c>
      <c r="C76" t="s">
        <v>517</v>
      </c>
      <c r="D76" t="s">
        <v>518</v>
      </c>
      <c r="E76" s="12" t="str">
        <f t="shared" si="1"/>
        <v>Direita</v>
      </c>
    </row>
    <row r="77" spans="1:5" x14ac:dyDescent="0.3">
      <c r="A77" t="s">
        <v>899</v>
      </c>
      <c r="B77" t="s">
        <v>900</v>
      </c>
      <c r="C77" t="s">
        <v>66</v>
      </c>
      <c r="D77" t="s">
        <v>67</v>
      </c>
      <c r="E77" s="12" t="str">
        <f t="shared" si="1"/>
        <v>Direita</v>
      </c>
    </row>
    <row r="78" spans="1:5" x14ac:dyDescent="0.3">
      <c r="A78" t="s">
        <v>899</v>
      </c>
      <c r="B78" t="s">
        <v>900</v>
      </c>
      <c r="C78" t="s">
        <v>891</v>
      </c>
      <c r="D78" t="s">
        <v>878</v>
      </c>
      <c r="E78" s="12" t="str">
        <f t="shared" si="1"/>
        <v>Direita</v>
      </c>
    </row>
    <row r="79" spans="1:5" x14ac:dyDescent="0.3">
      <c r="A79" t="s">
        <v>893</v>
      </c>
      <c r="B79" t="s">
        <v>894</v>
      </c>
      <c r="C79" t="s">
        <v>494</v>
      </c>
      <c r="D79" t="s">
        <v>495</v>
      </c>
      <c r="E79" s="12" t="str">
        <f t="shared" si="1"/>
        <v>Indefinido</v>
      </c>
    </row>
    <row r="80" spans="1:5" x14ac:dyDescent="0.3">
      <c r="A80" t="s">
        <v>893</v>
      </c>
      <c r="B80" t="s">
        <v>894</v>
      </c>
      <c r="C80" t="s">
        <v>835</v>
      </c>
      <c r="D80" t="s">
        <v>836</v>
      </c>
      <c r="E80" s="12" t="str">
        <f t="shared" si="1"/>
        <v>Indefinido</v>
      </c>
    </row>
    <row r="81" spans="1:5" x14ac:dyDescent="0.3">
      <c r="A81" t="s">
        <v>893</v>
      </c>
      <c r="B81" t="s">
        <v>894</v>
      </c>
      <c r="C81" t="s">
        <v>10</v>
      </c>
      <c r="D81" t="s">
        <v>11</v>
      </c>
      <c r="E81" s="12" t="str">
        <f t="shared" si="1"/>
        <v>Indefinido</v>
      </c>
    </row>
    <row r="82" spans="1:5" x14ac:dyDescent="0.3">
      <c r="A82" t="s">
        <v>893</v>
      </c>
      <c r="B82" t="s">
        <v>894</v>
      </c>
      <c r="C82" t="s">
        <v>833</v>
      </c>
      <c r="D82" t="s">
        <v>834</v>
      </c>
      <c r="E82" s="12" t="str">
        <f t="shared" si="1"/>
        <v>Indefinido</v>
      </c>
    </row>
    <row r="83" spans="1:5" x14ac:dyDescent="0.3">
      <c r="A83" t="s">
        <v>893</v>
      </c>
      <c r="B83" t="s">
        <v>894</v>
      </c>
      <c r="C83" t="s">
        <v>28</v>
      </c>
      <c r="D83" t="s">
        <v>29</v>
      </c>
      <c r="E83" s="12" t="str">
        <f t="shared" si="1"/>
        <v>Indefinido</v>
      </c>
    </row>
    <row r="84" spans="1:5" x14ac:dyDescent="0.3">
      <c r="A84" t="s">
        <v>893</v>
      </c>
      <c r="B84" t="s">
        <v>894</v>
      </c>
      <c r="C84" t="s">
        <v>414</v>
      </c>
      <c r="D84" t="s">
        <v>415</v>
      </c>
      <c r="E84" s="12" t="str">
        <f t="shared" si="1"/>
        <v>Indefinido</v>
      </c>
    </row>
    <row r="85" spans="1:5" x14ac:dyDescent="0.3">
      <c r="A85" t="s">
        <v>893</v>
      </c>
      <c r="B85" t="s">
        <v>894</v>
      </c>
      <c r="C85" t="s">
        <v>343</v>
      </c>
      <c r="D85" t="s">
        <v>344</v>
      </c>
      <c r="E85" s="12" t="str">
        <f t="shared" si="1"/>
        <v>Indefinido</v>
      </c>
    </row>
    <row r="86" spans="1:5" x14ac:dyDescent="0.3">
      <c r="A86" t="s">
        <v>893</v>
      </c>
      <c r="B86" t="s">
        <v>894</v>
      </c>
      <c r="C86" t="s">
        <v>68</v>
      </c>
      <c r="D86" t="s">
        <v>69</v>
      </c>
      <c r="E86" s="12" t="str">
        <f t="shared" si="1"/>
        <v>Indefinido</v>
      </c>
    </row>
    <row r="87" spans="1:5" x14ac:dyDescent="0.3">
      <c r="A87" t="s">
        <v>893</v>
      </c>
      <c r="B87" t="s">
        <v>894</v>
      </c>
      <c r="C87" t="s">
        <v>400</v>
      </c>
      <c r="D87" t="s">
        <v>401</v>
      </c>
      <c r="E87" s="12" t="str">
        <f t="shared" si="1"/>
        <v>Indefinido</v>
      </c>
    </row>
    <row r="88" spans="1:5" x14ac:dyDescent="0.3">
      <c r="A88" t="s">
        <v>893</v>
      </c>
      <c r="B88" t="s">
        <v>894</v>
      </c>
      <c r="C88" t="s">
        <v>609</v>
      </c>
      <c r="D88" t="s">
        <v>610</v>
      </c>
      <c r="E88" s="12" t="str">
        <f t="shared" si="1"/>
        <v>Indefinido</v>
      </c>
    </row>
    <row r="89" spans="1:5" x14ac:dyDescent="0.3">
      <c r="A89" t="s">
        <v>893</v>
      </c>
      <c r="B89" t="s">
        <v>894</v>
      </c>
      <c r="C89" t="s">
        <v>396</v>
      </c>
      <c r="D89" t="s">
        <v>397</v>
      </c>
      <c r="E89" s="12" t="str">
        <f t="shared" si="1"/>
        <v>Indefinido</v>
      </c>
    </row>
    <row r="90" spans="1:5" x14ac:dyDescent="0.3">
      <c r="A90" t="s">
        <v>893</v>
      </c>
      <c r="B90" t="s">
        <v>894</v>
      </c>
      <c r="C90" t="s">
        <v>398</v>
      </c>
      <c r="D90" t="s">
        <v>399</v>
      </c>
      <c r="E90" s="12" t="str">
        <f t="shared" si="1"/>
        <v>Indefinido</v>
      </c>
    </row>
    <row r="91" spans="1:5" x14ac:dyDescent="0.3">
      <c r="A91" t="s">
        <v>893</v>
      </c>
      <c r="B91" t="s">
        <v>894</v>
      </c>
      <c r="C91" t="s">
        <v>228</v>
      </c>
      <c r="D91" t="s">
        <v>229</v>
      </c>
      <c r="E91" s="12" t="str">
        <f t="shared" si="1"/>
        <v>Indefinido</v>
      </c>
    </row>
    <row r="92" spans="1:5" x14ac:dyDescent="0.3">
      <c r="A92" t="s">
        <v>893</v>
      </c>
      <c r="B92" t="s">
        <v>894</v>
      </c>
      <c r="C92" t="s">
        <v>149</v>
      </c>
      <c r="D92" t="s">
        <v>150</v>
      </c>
      <c r="E92" s="12" t="str">
        <f t="shared" si="1"/>
        <v>Indefinido</v>
      </c>
    </row>
    <row r="93" spans="1:5" x14ac:dyDescent="0.3">
      <c r="A93" t="s">
        <v>893</v>
      </c>
      <c r="B93" t="s">
        <v>894</v>
      </c>
      <c r="C93" t="s">
        <v>208</v>
      </c>
      <c r="D93" t="s">
        <v>209</v>
      </c>
      <c r="E93" s="12" t="str">
        <f t="shared" si="1"/>
        <v>Indefinido</v>
      </c>
    </row>
    <row r="94" spans="1:5" x14ac:dyDescent="0.3">
      <c r="A94" t="s">
        <v>893</v>
      </c>
      <c r="B94" t="s">
        <v>894</v>
      </c>
      <c r="C94" t="s">
        <v>701</v>
      </c>
      <c r="D94" t="s">
        <v>702</v>
      </c>
      <c r="E94" s="12" t="str">
        <f t="shared" si="1"/>
        <v>Indefinido</v>
      </c>
    </row>
    <row r="95" spans="1:5" x14ac:dyDescent="0.3">
      <c r="A95" t="s">
        <v>893</v>
      </c>
      <c r="B95" t="s">
        <v>894</v>
      </c>
      <c r="C95" t="s">
        <v>304</v>
      </c>
      <c r="D95" t="s">
        <v>305</v>
      </c>
      <c r="E95" s="12" t="str">
        <f t="shared" si="1"/>
        <v>Indefinido</v>
      </c>
    </row>
    <row r="96" spans="1:5" x14ac:dyDescent="0.3">
      <c r="A96" t="s">
        <v>893</v>
      </c>
      <c r="B96" t="s">
        <v>894</v>
      </c>
      <c r="C96" t="s">
        <v>226</v>
      </c>
      <c r="D96" t="s">
        <v>227</v>
      </c>
      <c r="E96" s="12" t="str">
        <f t="shared" si="1"/>
        <v>Indefinido</v>
      </c>
    </row>
    <row r="97" spans="1:5" x14ac:dyDescent="0.3">
      <c r="A97" t="s">
        <v>893</v>
      </c>
      <c r="B97" t="s">
        <v>894</v>
      </c>
      <c r="C97" t="s">
        <v>772</v>
      </c>
      <c r="D97" t="s">
        <v>773</v>
      </c>
      <c r="E97" s="12" t="str">
        <f t="shared" si="1"/>
        <v>Indefinido</v>
      </c>
    </row>
    <row r="98" spans="1:5" x14ac:dyDescent="0.3">
      <c r="A98" t="s">
        <v>893</v>
      </c>
      <c r="B98" t="s">
        <v>894</v>
      </c>
      <c r="C98" t="s">
        <v>461</v>
      </c>
      <c r="D98" t="s">
        <v>462</v>
      </c>
      <c r="E98" s="12" t="str">
        <f t="shared" si="1"/>
        <v>Indefinido</v>
      </c>
    </row>
    <row r="99" spans="1:5" x14ac:dyDescent="0.3">
      <c r="A99" t="s">
        <v>893</v>
      </c>
      <c r="B99" t="s">
        <v>894</v>
      </c>
      <c r="C99" t="s">
        <v>463</v>
      </c>
      <c r="D99" t="s">
        <v>460</v>
      </c>
      <c r="E99" s="12" t="str">
        <f t="shared" si="1"/>
        <v>Indefinido</v>
      </c>
    </row>
    <row r="100" spans="1:5" x14ac:dyDescent="0.3">
      <c r="A100" t="s">
        <v>893</v>
      </c>
      <c r="B100" t="s">
        <v>894</v>
      </c>
      <c r="C100" t="s">
        <v>843</v>
      </c>
      <c r="D100" t="s">
        <v>844</v>
      </c>
      <c r="E100" s="12" t="str">
        <f t="shared" si="1"/>
        <v>Indefinido</v>
      </c>
    </row>
    <row r="101" spans="1:5" x14ac:dyDescent="0.3">
      <c r="A101" t="s">
        <v>893</v>
      </c>
      <c r="B101" t="s">
        <v>894</v>
      </c>
      <c r="C101" t="s">
        <v>267</v>
      </c>
      <c r="D101" t="s">
        <v>227</v>
      </c>
      <c r="E101" s="12" t="str">
        <f t="shared" si="1"/>
        <v>Indefinido</v>
      </c>
    </row>
    <row r="102" spans="1:5" x14ac:dyDescent="0.3">
      <c r="A102" t="s">
        <v>893</v>
      </c>
      <c r="B102" t="s">
        <v>894</v>
      </c>
      <c r="C102" t="s">
        <v>589</v>
      </c>
      <c r="D102" t="s">
        <v>590</v>
      </c>
      <c r="E102" s="12" t="str">
        <f t="shared" si="1"/>
        <v>Indefinido</v>
      </c>
    </row>
    <row r="103" spans="1:5" x14ac:dyDescent="0.3">
      <c r="A103" t="s">
        <v>893</v>
      </c>
      <c r="B103" t="s">
        <v>894</v>
      </c>
      <c r="C103" t="s">
        <v>531</v>
      </c>
      <c r="D103" t="s">
        <v>495</v>
      </c>
      <c r="E103" s="12" t="str">
        <f t="shared" si="1"/>
        <v>Indefinido</v>
      </c>
    </row>
    <row r="104" spans="1:5" x14ac:dyDescent="0.3">
      <c r="A104" t="s">
        <v>893</v>
      </c>
      <c r="B104" t="s">
        <v>894</v>
      </c>
      <c r="C104" t="s">
        <v>44</v>
      </c>
      <c r="D104" t="s">
        <v>45</v>
      </c>
      <c r="E104" s="12" t="str">
        <f t="shared" si="1"/>
        <v>Indefinido</v>
      </c>
    </row>
    <row r="105" spans="1:5" x14ac:dyDescent="0.3">
      <c r="A105" t="s">
        <v>893</v>
      </c>
      <c r="B105" t="s">
        <v>894</v>
      </c>
      <c r="C105" t="s">
        <v>153</v>
      </c>
      <c r="D105" t="s">
        <v>154</v>
      </c>
      <c r="E105" s="12" t="str">
        <f t="shared" si="1"/>
        <v>Indefinido</v>
      </c>
    </row>
    <row r="106" spans="1:5" x14ac:dyDescent="0.3">
      <c r="A106" t="s">
        <v>893</v>
      </c>
      <c r="B106" t="s">
        <v>894</v>
      </c>
      <c r="C106" t="s">
        <v>613</v>
      </c>
      <c r="D106" t="s">
        <v>614</v>
      </c>
      <c r="E106" s="12" t="str">
        <f t="shared" si="1"/>
        <v>Indefinido</v>
      </c>
    </row>
    <row r="107" spans="1:5" x14ac:dyDescent="0.3">
      <c r="A107" t="s">
        <v>893</v>
      </c>
      <c r="B107" t="s">
        <v>894</v>
      </c>
      <c r="C107" t="s">
        <v>837</v>
      </c>
      <c r="D107" t="s">
        <v>838</v>
      </c>
      <c r="E107" s="12" t="str">
        <f t="shared" si="1"/>
        <v>Indefinido</v>
      </c>
    </row>
    <row r="108" spans="1:5" x14ac:dyDescent="0.3">
      <c r="A108" t="s">
        <v>893</v>
      </c>
      <c r="B108" t="s">
        <v>894</v>
      </c>
      <c r="C108" t="s">
        <v>778</v>
      </c>
      <c r="D108" t="s">
        <v>779</v>
      </c>
      <c r="E108" s="12" t="str">
        <f t="shared" si="1"/>
        <v>Indefinido</v>
      </c>
    </row>
    <row r="109" spans="1:5" x14ac:dyDescent="0.3">
      <c r="A109" t="s">
        <v>893</v>
      </c>
      <c r="B109" t="s">
        <v>894</v>
      </c>
      <c r="C109" t="s">
        <v>580</v>
      </c>
      <c r="D109" t="s">
        <v>581</v>
      </c>
      <c r="E109" s="12" t="str">
        <f t="shared" si="1"/>
        <v>Indefinido</v>
      </c>
    </row>
    <row r="110" spans="1:5" x14ac:dyDescent="0.3">
      <c r="A110" t="s">
        <v>893</v>
      </c>
      <c r="B110" t="s">
        <v>894</v>
      </c>
      <c r="C110" t="s">
        <v>645</v>
      </c>
      <c r="D110" t="s">
        <v>646</v>
      </c>
      <c r="E110" s="12" t="str">
        <f t="shared" si="1"/>
        <v>Indefinido</v>
      </c>
    </row>
    <row r="111" spans="1:5" x14ac:dyDescent="0.3">
      <c r="A111" t="s">
        <v>893</v>
      </c>
      <c r="B111" t="s">
        <v>894</v>
      </c>
      <c r="C111" t="s">
        <v>468</v>
      </c>
      <c r="D111" t="s">
        <v>469</v>
      </c>
      <c r="E111" s="12" t="str">
        <f t="shared" si="1"/>
        <v>Indefinido</v>
      </c>
    </row>
    <row r="112" spans="1:5" x14ac:dyDescent="0.3">
      <c r="A112" t="s">
        <v>893</v>
      </c>
      <c r="B112" t="s">
        <v>894</v>
      </c>
      <c r="C112" t="s">
        <v>674</v>
      </c>
      <c r="D112" t="s">
        <v>675</v>
      </c>
      <c r="E112" s="12" t="str">
        <f t="shared" si="1"/>
        <v>Indefinido</v>
      </c>
    </row>
    <row r="113" spans="1:5" x14ac:dyDescent="0.3">
      <c r="A113" t="s">
        <v>893</v>
      </c>
      <c r="B113" t="s">
        <v>894</v>
      </c>
      <c r="C113" t="s">
        <v>34</v>
      </c>
      <c r="D113" t="s">
        <v>35</v>
      </c>
      <c r="E113" s="12" t="str">
        <f t="shared" si="1"/>
        <v>Indefinido</v>
      </c>
    </row>
    <row r="114" spans="1:5" x14ac:dyDescent="0.3">
      <c r="A114" t="s">
        <v>893</v>
      </c>
      <c r="B114" t="s">
        <v>894</v>
      </c>
      <c r="C114" t="s">
        <v>453</v>
      </c>
      <c r="D114" t="s">
        <v>454</v>
      </c>
      <c r="E114" s="12" t="str">
        <f t="shared" si="1"/>
        <v>Indefinido</v>
      </c>
    </row>
    <row r="115" spans="1:5" x14ac:dyDescent="0.3">
      <c r="A115" t="s">
        <v>893</v>
      </c>
      <c r="B115" t="s">
        <v>894</v>
      </c>
      <c r="C115" t="s">
        <v>210</v>
      </c>
      <c r="D115" t="s">
        <v>211</v>
      </c>
      <c r="E115" s="12" t="str">
        <f t="shared" si="1"/>
        <v>Indefinido</v>
      </c>
    </row>
    <row r="116" spans="1:5" x14ac:dyDescent="0.3">
      <c r="A116" t="s">
        <v>893</v>
      </c>
      <c r="B116" t="s">
        <v>894</v>
      </c>
      <c r="C116" t="s">
        <v>90</v>
      </c>
      <c r="D116" t="s">
        <v>91</v>
      </c>
      <c r="E116" s="12" t="str">
        <f t="shared" si="1"/>
        <v>Indefinido</v>
      </c>
    </row>
    <row r="117" spans="1:5" x14ac:dyDescent="0.3">
      <c r="A117" t="s">
        <v>893</v>
      </c>
      <c r="B117" t="s">
        <v>894</v>
      </c>
      <c r="C117" t="s">
        <v>76</v>
      </c>
      <c r="D117" t="s">
        <v>77</v>
      </c>
      <c r="E117" s="12" t="str">
        <f t="shared" si="1"/>
        <v>Indefinido</v>
      </c>
    </row>
    <row r="118" spans="1:5" x14ac:dyDescent="0.3">
      <c r="A118" t="s">
        <v>893</v>
      </c>
      <c r="B118" t="s">
        <v>894</v>
      </c>
      <c r="C118" t="s">
        <v>627</v>
      </c>
      <c r="D118" t="s">
        <v>628</v>
      </c>
      <c r="E118" s="12" t="str">
        <f t="shared" si="1"/>
        <v>Indefinido</v>
      </c>
    </row>
    <row r="119" spans="1:5" x14ac:dyDescent="0.3">
      <c r="A119" t="s">
        <v>893</v>
      </c>
      <c r="B119" t="s">
        <v>894</v>
      </c>
      <c r="C119" t="s">
        <v>320</v>
      </c>
      <c r="D119" t="s">
        <v>321</v>
      </c>
      <c r="E119" s="12" t="str">
        <f t="shared" si="1"/>
        <v>Indefinido</v>
      </c>
    </row>
    <row r="120" spans="1:5" x14ac:dyDescent="0.3">
      <c r="A120" t="s">
        <v>893</v>
      </c>
      <c r="B120" t="s">
        <v>894</v>
      </c>
      <c r="C120" t="s">
        <v>639</v>
      </c>
      <c r="D120" t="s">
        <v>640</v>
      </c>
      <c r="E120" s="12" t="str">
        <f t="shared" si="1"/>
        <v>Indefinido</v>
      </c>
    </row>
    <row r="121" spans="1:5" x14ac:dyDescent="0.3">
      <c r="A121" t="s">
        <v>893</v>
      </c>
      <c r="B121" t="s">
        <v>894</v>
      </c>
      <c r="C121" t="s">
        <v>60</v>
      </c>
      <c r="D121" t="s">
        <v>61</v>
      </c>
      <c r="E121" s="12" t="str">
        <f t="shared" si="1"/>
        <v>Indefinido</v>
      </c>
    </row>
    <row r="122" spans="1:5" x14ac:dyDescent="0.3">
      <c r="A122" t="s">
        <v>893</v>
      </c>
      <c r="B122" t="s">
        <v>894</v>
      </c>
      <c r="C122" t="s">
        <v>895</v>
      </c>
      <c r="D122" t="s">
        <v>896</v>
      </c>
      <c r="E122" s="12" t="str">
        <f t="shared" si="1"/>
        <v>Indefinido</v>
      </c>
    </row>
    <row r="123" spans="1:5" x14ac:dyDescent="0.3">
      <c r="A123" t="s">
        <v>893</v>
      </c>
      <c r="B123" t="s">
        <v>894</v>
      </c>
      <c r="C123" t="s">
        <v>897</v>
      </c>
      <c r="D123" t="s">
        <v>898</v>
      </c>
      <c r="E123" s="12" t="str">
        <f t="shared" si="1"/>
        <v>Indefinido</v>
      </c>
    </row>
    <row r="124" spans="1:5" x14ac:dyDescent="0.3">
      <c r="A124" t="s">
        <v>893</v>
      </c>
      <c r="B124" t="s">
        <v>894</v>
      </c>
      <c r="C124" t="s">
        <v>853</v>
      </c>
      <c r="D124" t="s">
        <v>854</v>
      </c>
      <c r="E124" s="12" t="str">
        <f t="shared" si="1"/>
        <v>Indefinido</v>
      </c>
    </row>
    <row r="125" spans="1:5" x14ac:dyDescent="0.3">
      <c r="A125" t="s">
        <v>893</v>
      </c>
      <c r="B125" t="s">
        <v>894</v>
      </c>
      <c r="C125" t="s">
        <v>633</v>
      </c>
      <c r="D125" t="s">
        <v>634</v>
      </c>
      <c r="E125" s="12" t="str">
        <f t="shared" si="1"/>
        <v>Indefinido</v>
      </c>
    </row>
    <row r="126" spans="1:5" x14ac:dyDescent="0.3">
      <c r="A126" t="s">
        <v>893</v>
      </c>
      <c r="B126" t="s">
        <v>894</v>
      </c>
      <c r="C126" t="s">
        <v>62</v>
      </c>
      <c r="D126" t="s">
        <v>63</v>
      </c>
      <c r="E126" s="12" t="str">
        <f t="shared" si="1"/>
        <v>Indefinido</v>
      </c>
    </row>
    <row r="127" spans="1:5" x14ac:dyDescent="0.3">
      <c r="A127" t="s">
        <v>893</v>
      </c>
      <c r="B127" t="s">
        <v>894</v>
      </c>
      <c r="C127" t="s">
        <v>676</v>
      </c>
      <c r="D127" t="s">
        <v>677</v>
      </c>
      <c r="E127" s="12" t="str">
        <f t="shared" si="1"/>
        <v>Indefinido</v>
      </c>
    </row>
    <row r="128" spans="1:5" x14ac:dyDescent="0.3">
      <c r="A128" t="s">
        <v>893</v>
      </c>
      <c r="B128" t="s">
        <v>894</v>
      </c>
      <c r="C128" t="s">
        <v>430</v>
      </c>
      <c r="D128" t="s">
        <v>431</v>
      </c>
      <c r="E128" s="12" t="str">
        <f t="shared" si="1"/>
        <v>Indefinido</v>
      </c>
    </row>
    <row r="129" spans="1:5" x14ac:dyDescent="0.3">
      <c r="A129" t="s">
        <v>893</v>
      </c>
      <c r="B129" t="s">
        <v>894</v>
      </c>
      <c r="C129" t="s">
        <v>243</v>
      </c>
      <c r="D129" t="s">
        <v>244</v>
      </c>
      <c r="E129" s="12" t="str">
        <f t="shared" si="1"/>
        <v>Indefinido</v>
      </c>
    </row>
    <row r="130" spans="1:5" x14ac:dyDescent="0.3">
      <c r="A130" t="s">
        <v>893</v>
      </c>
      <c r="B130" t="s">
        <v>894</v>
      </c>
      <c r="C130" t="s">
        <v>678</v>
      </c>
      <c r="D130" t="s">
        <v>679</v>
      </c>
      <c r="E130" s="12" t="str">
        <f t="shared" si="1"/>
        <v>Indefinido</v>
      </c>
    </row>
    <row r="131" spans="1:5" x14ac:dyDescent="0.3">
      <c r="A131" t="s">
        <v>893</v>
      </c>
      <c r="B131" t="s">
        <v>894</v>
      </c>
      <c r="C131" t="s">
        <v>855</v>
      </c>
      <c r="D131" t="s">
        <v>856</v>
      </c>
      <c r="E131" s="12" t="str">
        <f t="shared" ref="E131:E194" si="2">IF(INDEX(K:K,MATCH(A131,I:I,0))&lt;&gt;0,INDEX(K:K,MATCH(A131,I:I,0)),"")</f>
        <v>Indefinido</v>
      </c>
    </row>
    <row r="132" spans="1:5" x14ac:dyDescent="0.3">
      <c r="A132" t="s">
        <v>893</v>
      </c>
      <c r="B132" t="s">
        <v>894</v>
      </c>
      <c r="C132" t="s">
        <v>625</v>
      </c>
      <c r="D132" t="s">
        <v>626</v>
      </c>
      <c r="E132" s="12" t="str">
        <f t="shared" si="2"/>
        <v>Indefinido</v>
      </c>
    </row>
    <row r="133" spans="1:5" x14ac:dyDescent="0.3">
      <c r="A133" t="s">
        <v>893</v>
      </c>
      <c r="B133" t="s">
        <v>894</v>
      </c>
      <c r="C133" t="s">
        <v>373</v>
      </c>
      <c r="D133" t="s">
        <v>374</v>
      </c>
      <c r="E133" s="12" t="str">
        <f t="shared" si="2"/>
        <v>Indefinido</v>
      </c>
    </row>
    <row r="134" spans="1:5" x14ac:dyDescent="0.3">
      <c r="A134" t="s">
        <v>893</v>
      </c>
      <c r="B134" t="s">
        <v>894</v>
      </c>
      <c r="C134" t="s">
        <v>619</v>
      </c>
      <c r="D134" t="s">
        <v>620</v>
      </c>
      <c r="E134" s="12" t="str">
        <f t="shared" si="2"/>
        <v>Indefinido</v>
      </c>
    </row>
    <row r="135" spans="1:5" x14ac:dyDescent="0.3">
      <c r="A135" t="s">
        <v>893</v>
      </c>
      <c r="B135" t="s">
        <v>894</v>
      </c>
      <c r="C135" t="s">
        <v>621</v>
      </c>
      <c r="D135" t="s">
        <v>622</v>
      </c>
      <c r="E135" s="12" t="str">
        <f t="shared" si="2"/>
        <v>Indefinido</v>
      </c>
    </row>
    <row r="136" spans="1:5" x14ac:dyDescent="0.3">
      <c r="A136" t="s">
        <v>893</v>
      </c>
      <c r="B136" t="s">
        <v>894</v>
      </c>
      <c r="C136" t="s">
        <v>375</v>
      </c>
      <c r="D136" t="s">
        <v>376</v>
      </c>
      <c r="E136" s="12" t="str">
        <f t="shared" si="2"/>
        <v>Indefinido</v>
      </c>
    </row>
    <row r="137" spans="1:5" x14ac:dyDescent="0.3">
      <c r="A137" t="s">
        <v>893</v>
      </c>
      <c r="B137" t="s">
        <v>894</v>
      </c>
      <c r="C137" t="s">
        <v>623</v>
      </c>
      <c r="D137" t="s">
        <v>624</v>
      </c>
      <c r="E137" s="12" t="str">
        <f t="shared" si="2"/>
        <v>Indefinido</v>
      </c>
    </row>
    <row r="138" spans="1:5" x14ac:dyDescent="0.3">
      <c r="A138" t="s">
        <v>893</v>
      </c>
      <c r="B138" t="s">
        <v>894</v>
      </c>
      <c r="C138" t="s">
        <v>371</v>
      </c>
      <c r="D138" t="s">
        <v>372</v>
      </c>
      <c r="E138" s="12" t="str">
        <f t="shared" si="2"/>
        <v>Indefinido</v>
      </c>
    </row>
    <row r="139" spans="1:5" x14ac:dyDescent="0.3">
      <c r="A139" t="s">
        <v>875</v>
      </c>
      <c r="B139" t="s">
        <v>876</v>
      </c>
      <c r="C139" t="s">
        <v>490</v>
      </c>
      <c r="D139" t="s">
        <v>491</v>
      </c>
      <c r="E139" s="12" t="str">
        <f t="shared" si="2"/>
        <v>Centro</v>
      </c>
    </row>
    <row r="140" spans="1:5" x14ac:dyDescent="0.3">
      <c r="A140" t="s">
        <v>875</v>
      </c>
      <c r="B140" t="s">
        <v>876</v>
      </c>
      <c r="C140" t="s">
        <v>492</v>
      </c>
      <c r="D140" t="s">
        <v>493</v>
      </c>
      <c r="E140" s="12" t="str">
        <f t="shared" si="2"/>
        <v>Centro</v>
      </c>
    </row>
    <row r="141" spans="1:5" x14ac:dyDescent="0.3">
      <c r="A141" t="s">
        <v>875</v>
      </c>
      <c r="B141" t="s">
        <v>876</v>
      </c>
      <c r="C141" t="s">
        <v>601</v>
      </c>
      <c r="D141" t="s">
        <v>602</v>
      </c>
      <c r="E141" s="12" t="str">
        <f t="shared" si="2"/>
        <v>Centro</v>
      </c>
    </row>
    <row r="142" spans="1:5" x14ac:dyDescent="0.3">
      <c r="A142" t="s">
        <v>875</v>
      </c>
      <c r="B142" t="s">
        <v>876</v>
      </c>
      <c r="C142" t="s">
        <v>605</v>
      </c>
      <c r="D142" t="s">
        <v>606</v>
      </c>
      <c r="E142" s="12" t="str">
        <f t="shared" si="2"/>
        <v>Centro</v>
      </c>
    </row>
    <row r="143" spans="1:5" x14ac:dyDescent="0.3">
      <c r="A143" t="s">
        <v>875</v>
      </c>
      <c r="B143" t="s">
        <v>876</v>
      </c>
      <c r="C143" t="s">
        <v>10</v>
      </c>
      <c r="D143" t="s">
        <v>11</v>
      </c>
      <c r="E143" s="12" t="str">
        <f t="shared" si="2"/>
        <v>Centro</v>
      </c>
    </row>
    <row r="144" spans="1:5" x14ac:dyDescent="0.3">
      <c r="A144" t="s">
        <v>875</v>
      </c>
      <c r="B144" t="s">
        <v>876</v>
      </c>
      <c r="C144" t="s">
        <v>859</v>
      </c>
      <c r="D144" t="s">
        <v>860</v>
      </c>
      <c r="E144" s="12" t="str">
        <f t="shared" si="2"/>
        <v>Centro</v>
      </c>
    </row>
    <row r="145" spans="1:5" x14ac:dyDescent="0.3">
      <c r="A145" t="s">
        <v>875</v>
      </c>
      <c r="B145" t="s">
        <v>876</v>
      </c>
      <c r="C145" t="s">
        <v>214</v>
      </c>
      <c r="D145" t="s">
        <v>215</v>
      </c>
      <c r="E145" s="12" t="str">
        <f t="shared" si="2"/>
        <v>Centro</v>
      </c>
    </row>
    <row r="146" spans="1:5" x14ac:dyDescent="0.3">
      <c r="A146" t="s">
        <v>875</v>
      </c>
      <c r="B146" t="s">
        <v>876</v>
      </c>
      <c r="C146" t="s">
        <v>14</v>
      </c>
      <c r="D146" t="s">
        <v>15</v>
      </c>
      <c r="E146" s="12" t="str">
        <f t="shared" si="2"/>
        <v>Centro</v>
      </c>
    </row>
    <row r="147" spans="1:5" x14ac:dyDescent="0.3">
      <c r="A147" t="s">
        <v>875</v>
      </c>
      <c r="B147" t="s">
        <v>876</v>
      </c>
      <c r="C147" t="s">
        <v>877</v>
      </c>
      <c r="D147" t="s">
        <v>878</v>
      </c>
      <c r="E147" s="12" t="str">
        <f t="shared" si="2"/>
        <v>Centro</v>
      </c>
    </row>
    <row r="148" spans="1:5" x14ac:dyDescent="0.3">
      <c r="A148" t="s">
        <v>875</v>
      </c>
      <c r="B148" t="s">
        <v>876</v>
      </c>
      <c r="C148" t="s">
        <v>290</v>
      </c>
      <c r="D148" t="s">
        <v>291</v>
      </c>
      <c r="E148" s="12" t="str">
        <f t="shared" si="2"/>
        <v>Centro</v>
      </c>
    </row>
    <row r="149" spans="1:5" x14ac:dyDescent="0.3">
      <c r="A149" t="s">
        <v>875</v>
      </c>
      <c r="B149" t="s">
        <v>876</v>
      </c>
      <c r="C149" t="s">
        <v>670</v>
      </c>
      <c r="D149" t="s">
        <v>671</v>
      </c>
      <c r="E149" s="12" t="str">
        <f t="shared" si="2"/>
        <v>Centro</v>
      </c>
    </row>
    <row r="150" spans="1:5" x14ac:dyDescent="0.3">
      <c r="A150" t="s">
        <v>875</v>
      </c>
      <c r="B150" t="s">
        <v>876</v>
      </c>
      <c r="C150" t="s">
        <v>861</v>
      </c>
      <c r="D150" t="s">
        <v>862</v>
      </c>
      <c r="E150" s="12" t="str">
        <f t="shared" si="2"/>
        <v>Centro</v>
      </c>
    </row>
    <row r="151" spans="1:5" x14ac:dyDescent="0.3">
      <c r="A151" t="s">
        <v>875</v>
      </c>
      <c r="B151" t="s">
        <v>876</v>
      </c>
      <c r="C151" t="s">
        <v>340</v>
      </c>
      <c r="D151" t="s">
        <v>341</v>
      </c>
      <c r="E151" s="12" t="str">
        <f t="shared" si="2"/>
        <v>Centro</v>
      </c>
    </row>
    <row r="152" spans="1:5" x14ac:dyDescent="0.3">
      <c r="A152" t="s">
        <v>875</v>
      </c>
      <c r="B152" t="s">
        <v>876</v>
      </c>
      <c r="C152" t="s">
        <v>342</v>
      </c>
      <c r="D152" t="s">
        <v>341</v>
      </c>
      <c r="E152" s="12" t="str">
        <f t="shared" si="2"/>
        <v>Centro</v>
      </c>
    </row>
    <row r="153" spans="1:5" x14ac:dyDescent="0.3">
      <c r="A153" t="s">
        <v>875</v>
      </c>
      <c r="B153" t="s">
        <v>876</v>
      </c>
      <c r="C153" t="s">
        <v>729</v>
      </c>
      <c r="D153" t="s">
        <v>730</v>
      </c>
      <c r="E153" s="12" t="str">
        <f t="shared" si="2"/>
        <v>Centro</v>
      </c>
    </row>
    <row r="154" spans="1:5" x14ac:dyDescent="0.3">
      <c r="A154" t="s">
        <v>875</v>
      </c>
      <c r="B154" t="s">
        <v>876</v>
      </c>
      <c r="C154" t="s">
        <v>879</v>
      </c>
      <c r="D154" t="s">
        <v>880</v>
      </c>
      <c r="E154" s="12" t="str">
        <f t="shared" si="2"/>
        <v>Centro</v>
      </c>
    </row>
    <row r="155" spans="1:5" x14ac:dyDescent="0.3">
      <c r="A155" t="s">
        <v>875</v>
      </c>
      <c r="B155" t="s">
        <v>876</v>
      </c>
      <c r="C155" t="s">
        <v>224</v>
      </c>
      <c r="D155" t="s">
        <v>225</v>
      </c>
      <c r="E155" s="12" t="str">
        <f t="shared" si="2"/>
        <v>Centro</v>
      </c>
    </row>
    <row r="156" spans="1:5" x14ac:dyDescent="0.3">
      <c r="A156" t="s">
        <v>875</v>
      </c>
      <c r="B156" t="s">
        <v>876</v>
      </c>
      <c r="C156" t="s">
        <v>611</v>
      </c>
      <c r="D156" t="s">
        <v>612</v>
      </c>
      <c r="E156" s="12" t="str">
        <f t="shared" si="2"/>
        <v>Centro</v>
      </c>
    </row>
    <row r="157" spans="1:5" x14ac:dyDescent="0.3">
      <c r="A157" t="s">
        <v>875</v>
      </c>
      <c r="B157" t="s">
        <v>876</v>
      </c>
      <c r="C157" t="s">
        <v>881</v>
      </c>
      <c r="D157" t="s">
        <v>882</v>
      </c>
      <c r="E157" s="12" t="str">
        <f t="shared" si="2"/>
        <v>Centro</v>
      </c>
    </row>
    <row r="158" spans="1:5" x14ac:dyDescent="0.3">
      <c r="A158" t="s">
        <v>875</v>
      </c>
      <c r="B158" t="s">
        <v>876</v>
      </c>
      <c r="C158" t="s">
        <v>721</v>
      </c>
      <c r="D158" t="s">
        <v>722</v>
      </c>
      <c r="E158" s="12" t="str">
        <f t="shared" si="2"/>
        <v>Centro</v>
      </c>
    </row>
    <row r="159" spans="1:5" x14ac:dyDescent="0.3">
      <c r="A159" t="s">
        <v>875</v>
      </c>
      <c r="B159" t="s">
        <v>876</v>
      </c>
      <c r="C159" t="s">
        <v>703</v>
      </c>
      <c r="D159" t="s">
        <v>704</v>
      </c>
      <c r="E159" s="12" t="str">
        <f t="shared" si="2"/>
        <v>Centro</v>
      </c>
    </row>
    <row r="160" spans="1:5" x14ac:dyDescent="0.3">
      <c r="A160" t="s">
        <v>875</v>
      </c>
      <c r="B160" t="s">
        <v>876</v>
      </c>
      <c r="C160" t="s">
        <v>365</v>
      </c>
      <c r="D160" t="s">
        <v>366</v>
      </c>
      <c r="E160" s="12" t="str">
        <f t="shared" si="2"/>
        <v>Centro</v>
      </c>
    </row>
    <row r="161" spans="1:5" x14ac:dyDescent="0.3">
      <c r="A161" t="s">
        <v>875</v>
      </c>
      <c r="B161" t="s">
        <v>876</v>
      </c>
      <c r="C161" t="s">
        <v>511</v>
      </c>
      <c r="D161" t="s">
        <v>512</v>
      </c>
      <c r="E161" s="12" t="str">
        <f t="shared" si="2"/>
        <v>Centro</v>
      </c>
    </row>
    <row r="162" spans="1:5" x14ac:dyDescent="0.3">
      <c r="A162" t="s">
        <v>875</v>
      </c>
      <c r="B162" t="s">
        <v>876</v>
      </c>
      <c r="C162" t="s">
        <v>280</v>
      </c>
      <c r="D162" t="s">
        <v>281</v>
      </c>
      <c r="E162" s="12" t="str">
        <f t="shared" si="2"/>
        <v>Centro</v>
      </c>
    </row>
    <row r="163" spans="1:5" x14ac:dyDescent="0.3">
      <c r="A163" t="s">
        <v>875</v>
      </c>
      <c r="B163" t="s">
        <v>876</v>
      </c>
      <c r="C163" t="s">
        <v>226</v>
      </c>
      <c r="D163" t="s">
        <v>227</v>
      </c>
      <c r="E163" s="12" t="str">
        <f t="shared" si="2"/>
        <v>Centro</v>
      </c>
    </row>
    <row r="164" spans="1:5" x14ac:dyDescent="0.3">
      <c r="A164" t="s">
        <v>875</v>
      </c>
      <c r="B164" t="s">
        <v>876</v>
      </c>
      <c r="C164" t="s">
        <v>883</v>
      </c>
      <c r="D164" t="s">
        <v>884</v>
      </c>
      <c r="E164" s="12" t="str">
        <f t="shared" si="2"/>
        <v>Centro</v>
      </c>
    </row>
    <row r="165" spans="1:5" x14ac:dyDescent="0.3">
      <c r="A165" t="s">
        <v>875</v>
      </c>
      <c r="B165" t="s">
        <v>876</v>
      </c>
      <c r="C165" t="s">
        <v>448</v>
      </c>
      <c r="D165" t="s">
        <v>449</v>
      </c>
      <c r="E165" s="12" t="str">
        <f t="shared" si="2"/>
        <v>Centro</v>
      </c>
    </row>
    <row r="166" spans="1:5" x14ac:dyDescent="0.3">
      <c r="A166" t="s">
        <v>875</v>
      </c>
      <c r="B166" t="s">
        <v>876</v>
      </c>
      <c r="C166" t="s">
        <v>819</v>
      </c>
      <c r="D166" t="s">
        <v>820</v>
      </c>
      <c r="E166" s="12" t="str">
        <f t="shared" si="2"/>
        <v>Centro</v>
      </c>
    </row>
    <row r="167" spans="1:5" x14ac:dyDescent="0.3">
      <c r="A167" t="s">
        <v>875</v>
      </c>
      <c r="B167" t="s">
        <v>876</v>
      </c>
      <c r="C167" t="s">
        <v>230</v>
      </c>
      <c r="D167" t="s">
        <v>227</v>
      </c>
      <c r="E167" s="12" t="str">
        <f t="shared" si="2"/>
        <v>Centro</v>
      </c>
    </row>
    <row r="168" spans="1:5" x14ac:dyDescent="0.3">
      <c r="A168" t="s">
        <v>875</v>
      </c>
      <c r="B168" t="s">
        <v>876</v>
      </c>
      <c r="C168" t="s">
        <v>450</v>
      </c>
      <c r="D168" t="s">
        <v>451</v>
      </c>
      <c r="E168" s="12" t="str">
        <f t="shared" si="2"/>
        <v>Centro</v>
      </c>
    </row>
    <row r="169" spans="1:5" x14ac:dyDescent="0.3">
      <c r="A169" t="s">
        <v>875</v>
      </c>
      <c r="B169" t="s">
        <v>876</v>
      </c>
      <c r="C169" t="s">
        <v>643</v>
      </c>
      <c r="D169" t="s">
        <v>644</v>
      </c>
      <c r="E169" s="12" t="str">
        <f t="shared" si="2"/>
        <v>Centro</v>
      </c>
    </row>
    <row r="170" spans="1:5" x14ac:dyDescent="0.3">
      <c r="A170" t="s">
        <v>875</v>
      </c>
      <c r="B170" t="s">
        <v>876</v>
      </c>
      <c r="C170" t="s">
        <v>885</v>
      </c>
      <c r="D170" t="s">
        <v>81</v>
      </c>
      <c r="E170" s="12" t="str">
        <f t="shared" si="2"/>
        <v>Centro</v>
      </c>
    </row>
    <row r="171" spans="1:5" x14ac:dyDescent="0.3">
      <c r="A171" t="s">
        <v>875</v>
      </c>
      <c r="B171" t="s">
        <v>876</v>
      </c>
      <c r="C171" t="s">
        <v>58</v>
      </c>
      <c r="D171" t="s">
        <v>59</v>
      </c>
      <c r="E171" s="12" t="str">
        <f t="shared" si="2"/>
        <v>Centro</v>
      </c>
    </row>
    <row r="172" spans="1:5" x14ac:dyDescent="0.3">
      <c r="A172" t="s">
        <v>875</v>
      </c>
      <c r="B172" t="s">
        <v>876</v>
      </c>
      <c r="C172" t="s">
        <v>843</v>
      </c>
      <c r="D172" t="s">
        <v>844</v>
      </c>
      <c r="E172" s="12" t="str">
        <f t="shared" si="2"/>
        <v>Centro</v>
      </c>
    </row>
    <row r="173" spans="1:5" x14ac:dyDescent="0.3">
      <c r="A173" t="s">
        <v>875</v>
      </c>
      <c r="B173" t="s">
        <v>876</v>
      </c>
      <c r="C173" t="s">
        <v>886</v>
      </c>
      <c r="D173" t="s">
        <v>887</v>
      </c>
      <c r="E173" s="12" t="str">
        <f t="shared" si="2"/>
        <v>Centro</v>
      </c>
    </row>
    <row r="174" spans="1:5" x14ac:dyDescent="0.3">
      <c r="A174" t="s">
        <v>875</v>
      </c>
      <c r="B174" t="s">
        <v>876</v>
      </c>
      <c r="C174" t="s">
        <v>172</v>
      </c>
      <c r="D174" t="s">
        <v>173</v>
      </c>
      <c r="E174" s="12" t="str">
        <f t="shared" si="2"/>
        <v>Centro</v>
      </c>
    </row>
    <row r="175" spans="1:5" x14ac:dyDescent="0.3">
      <c r="A175" t="s">
        <v>875</v>
      </c>
      <c r="B175" t="s">
        <v>876</v>
      </c>
      <c r="C175" t="s">
        <v>863</v>
      </c>
      <c r="D175" t="s">
        <v>862</v>
      </c>
      <c r="E175" s="12" t="str">
        <f t="shared" si="2"/>
        <v>Centro</v>
      </c>
    </row>
    <row r="176" spans="1:5" x14ac:dyDescent="0.3">
      <c r="A176" t="s">
        <v>875</v>
      </c>
      <c r="B176" t="s">
        <v>876</v>
      </c>
      <c r="C176" t="s">
        <v>841</v>
      </c>
      <c r="D176" t="s">
        <v>842</v>
      </c>
      <c r="E176" s="12" t="str">
        <f t="shared" si="2"/>
        <v>Centro</v>
      </c>
    </row>
    <row r="177" spans="1:5" x14ac:dyDescent="0.3">
      <c r="A177" t="s">
        <v>875</v>
      </c>
      <c r="B177" t="s">
        <v>876</v>
      </c>
      <c r="C177" t="s">
        <v>86</v>
      </c>
      <c r="D177" t="s">
        <v>87</v>
      </c>
      <c r="E177" s="12" t="str">
        <f t="shared" si="2"/>
        <v>Centro</v>
      </c>
    </row>
    <row r="178" spans="1:5" x14ac:dyDescent="0.3">
      <c r="A178" t="s">
        <v>875</v>
      </c>
      <c r="B178" t="s">
        <v>876</v>
      </c>
      <c r="C178" t="s">
        <v>369</v>
      </c>
      <c r="D178" t="s">
        <v>370</v>
      </c>
      <c r="E178" s="12" t="str">
        <f t="shared" si="2"/>
        <v>Centro</v>
      </c>
    </row>
    <row r="179" spans="1:5" x14ac:dyDescent="0.3">
      <c r="A179" t="s">
        <v>875</v>
      </c>
      <c r="B179" t="s">
        <v>876</v>
      </c>
      <c r="C179" t="s">
        <v>826</v>
      </c>
      <c r="D179" t="s">
        <v>59</v>
      </c>
      <c r="E179" s="12" t="str">
        <f t="shared" si="2"/>
        <v>Centro</v>
      </c>
    </row>
    <row r="180" spans="1:5" x14ac:dyDescent="0.3">
      <c r="A180" t="s">
        <v>875</v>
      </c>
      <c r="B180" t="s">
        <v>876</v>
      </c>
      <c r="C180" t="s">
        <v>851</v>
      </c>
      <c r="D180" t="s">
        <v>852</v>
      </c>
      <c r="E180" s="12" t="str">
        <f t="shared" si="2"/>
        <v>Centro</v>
      </c>
    </row>
    <row r="181" spans="1:5" x14ac:dyDescent="0.3">
      <c r="A181" t="s">
        <v>875</v>
      </c>
      <c r="B181" t="s">
        <v>876</v>
      </c>
      <c r="C181" t="s">
        <v>259</v>
      </c>
      <c r="D181" t="s">
        <v>260</v>
      </c>
      <c r="E181" s="12" t="str">
        <f t="shared" si="2"/>
        <v>Centro</v>
      </c>
    </row>
    <row r="182" spans="1:5" x14ac:dyDescent="0.3">
      <c r="A182" t="s">
        <v>875</v>
      </c>
      <c r="B182" t="s">
        <v>876</v>
      </c>
      <c r="C182" t="s">
        <v>534</v>
      </c>
      <c r="D182" t="s">
        <v>535</v>
      </c>
      <c r="E182" s="12" t="str">
        <f t="shared" si="2"/>
        <v>Centro</v>
      </c>
    </row>
    <row r="183" spans="1:5" x14ac:dyDescent="0.3">
      <c r="A183" t="s">
        <v>875</v>
      </c>
      <c r="B183" t="s">
        <v>876</v>
      </c>
      <c r="C183" t="s">
        <v>274</v>
      </c>
      <c r="D183" t="s">
        <v>275</v>
      </c>
      <c r="E183" s="12" t="str">
        <f t="shared" si="2"/>
        <v>Centro</v>
      </c>
    </row>
    <row r="184" spans="1:5" x14ac:dyDescent="0.3">
      <c r="A184" t="s">
        <v>875</v>
      </c>
      <c r="B184" t="s">
        <v>876</v>
      </c>
      <c r="C184" t="s">
        <v>888</v>
      </c>
      <c r="D184" t="s">
        <v>889</v>
      </c>
      <c r="E184" s="12" t="str">
        <f t="shared" si="2"/>
        <v>Centro</v>
      </c>
    </row>
    <row r="185" spans="1:5" x14ac:dyDescent="0.3">
      <c r="A185" t="s">
        <v>875</v>
      </c>
      <c r="B185" t="s">
        <v>876</v>
      </c>
      <c r="C185" t="s">
        <v>631</v>
      </c>
      <c r="D185" t="s">
        <v>632</v>
      </c>
      <c r="E185" s="12" t="str">
        <f t="shared" si="2"/>
        <v>Centro</v>
      </c>
    </row>
    <row r="186" spans="1:5" x14ac:dyDescent="0.3">
      <c r="A186" t="s">
        <v>875</v>
      </c>
      <c r="B186" t="s">
        <v>876</v>
      </c>
      <c r="C186" t="s">
        <v>80</v>
      </c>
      <c r="D186" t="s">
        <v>81</v>
      </c>
      <c r="E186" s="12" t="str">
        <f t="shared" si="2"/>
        <v>Centro</v>
      </c>
    </row>
    <row r="187" spans="1:5" x14ac:dyDescent="0.3">
      <c r="A187" t="s">
        <v>875</v>
      </c>
      <c r="B187" t="s">
        <v>876</v>
      </c>
      <c r="C187" t="s">
        <v>890</v>
      </c>
      <c r="D187" t="s">
        <v>882</v>
      </c>
      <c r="E187" s="12" t="str">
        <f t="shared" si="2"/>
        <v>Centro</v>
      </c>
    </row>
    <row r="188" spans="1:5" x14ac:dyDescent="0.3">
      <c r="A188" t="s">
        <v>875</v>
      </c>
      <c r="B188" t="s">
        <v>876</v>
      </c>
      <c r="C188" t="s">
        <v>267</v>
      </c>
      <c r="D188" t="s">
        <v>227</v>
      </c>
      <c r="E188" s="12" t="str">
        <f t="shared" si="2"/>
        <v>Centro</v>
      </c>
    </row>
    <row r="189" spans="1:5" x14ac:dyDescent="0.3">
      <c r="A189" t="s">
        <v>875</v>
      </c>
      <c r="B189" t="s">
        <v>876</v>
      </c>
      <c r="C189" t="s">
        <v>593</v>
      </c>
      <c r="D189" t="s">
        <v>594</v>
      </c>
      <c r="E189" s="12" t="str">
        <f t="shared" si="2"/>
        <v>Centro</v>
      </c>
    </row>
    <row r="190" spans="1:5" x14ac:dyDescent="0.3">
      <c r="A190" t="s">
        <v>875</v>
      </c>
      <c r="B190" t="s">
        <v>876</v>
      </c>
      <c r="C190" t="s">
        <v>619</v>
      </c>
      <c r="D190" t="s">
        <v>620</v>
      </c>
      <c r="E190" s="12" t="str">
        <f t="shared" si="2"/>
        <v>Centro</v>
      </c>
    </row>
    <row r="191" spans="1:5" x14ac:dyDescent="0.3">
      <c r="A191" t="s">
        <v>875</v>
      </c>
      <c r="B191" t="s">
        <v>876</v>
      </c>
      <c r="C191" t="s">
        <v>621</v>
      </c>
      <c r="D191" t="s">
        <v>622</v>
      </c>
      <c r="E191" s="12" t="str">
        <f t="shared" si="2"/>
        <v>Centro</v>
      </c>
    </row>
    <row r="192" spans="1:5" x14ac:dyDescent="0.3">
      <c r="A192" t="s">
        <v>875</v>
      </c>
      <c r="B192" t="s">
        <v>876</v>
      </c>
      <c r="C192" t="s">
        <v>891</v>
      </c>
      <c r="D192" t="s">
        <v>878</v>
      </c>
      <c r="E192" s="12" t="str">
        <f t="shared" si="2"/>
        <v>Centro</v>
      </c>
    </row>
    <row r="193" spans="1:5" x14ac:dyDescent="0.3">
      <c r="A193" t="s">
        <v>875</v>
      </c>
      <c r="B193" t="s">
        <v>876</v>
      </c>
      <c r="C193" t="s">
        <v>643</v>
      </c>
      <c r="D193" t="s">
        <v>892</v>
      </c>
      <c r="E193" s="12" t="str">
        <f t="shared" si="2"/>
        <v>Centro</v>
      </c>
    </row>
    <row r="194" spans="1:5" x14ac:dyDescent="0.3">
      <c r="A194" t="s">
        <v>875</v>
      </c>
      <c r="B194" t="s">
        <v>876</v>
      </c>
      <c r="C194" t="s">
        <v>100</v>
      </c>
      <c r="D194" t="s">
        <v>875</v>
      </c>
      <c r="E194" s="12" t="str">
        <f t="shared" si="2"/>
        <v>Centro</v>
      </c>
    </row>
    <row r="195" spans="1:5" x14ac:dyDescent="0.3">
      <c r="A195" t="s">
        <v>875</v>
      </c>
      <c r="B195" t="s">
        <v>876</v>
      </c>
      <c r="C195" t="s">
        <v>385</v>
      </c>
      <c r="D195" t="s">
        <v>341</v>
      </c>
      <c r="E195" s="12" t="str">
        <f t="shared" ref="E195:E258" si="3">IF(INDEX(K:K,MATCH(A195,I:I,0))&lt;&gt;0,INDEX(K:K,MATCH(A195,I:I,0)),"")</f>
        <v>Centro</v>
      </c>
    </row>
    <row r="196" spans="1:5" x14ac:dyDescent="0.3">
      <c r="A196" t="s">
        <v>875</v>
      </c>
      <c r="B196" t="s">
        <v>876</v>
      </c>
      <c r="C196" t="s">
        <v>735</v>
      </c>
      <c r="D196" t="s">
        <v>736</v>
      </c>
      <c r="E196" s="12" t="str">
        <f t="shared" si="3"/>
        <v>Centro</v>
      </c>
    </row>
    <row r="197" spans="1:5" x14ac:dyDescent="0.3">
      <c r="A197" t="s">
        <v>875</v>
      </c>
      <c r="B197" t="s">
        <v>876</v>
      </c>
      <c r="C197" t="s">
        <v>764</v>
      </c>
      <c r="D197" t="s">
        <v>765</v>
      </c>
      <c r="E197" s="12" t="str">
        <f t="shared" si="3"/>
        <v>Centro</v>
      </c>
    </row>
    <row r="198" spans="1:5" x14ac:dyDescent="0.3">
      <c r="A198" t="s">
        <v>785</v>
      </c>
      <c r="B198" t="s">
        <v>786</v>
      </c>
      <c r="C198" t="s">
        <v>100</v>
      </c>
      <c r="D198" t="s">
        <v>785</v>
      </c>
      <c r="E198" s="12" t="str">
        <f t="shared" si="3"/>
        <v>Centro direita</v>
      </c>
    </row>
    <row r="199" spans="1:5" x14ac:dyDescent="0.3">
      <c r="A199" t="s">
        <v>282</v>
      </c>
      <c r="B199" t="s">
        <v>283</v>
      </c>
      <c r="C199" t="s">
        <v>284</v>
      </c>
      <c r="D199" t="s">
        <v>285</v>
      </c>
      <c r="E199" s="12" t="str">
        <f t="shared" si="3"/>
        <v>Direita</v>
      </c>
    </row>
    <row r="200" spans="1:5" x14ac:dyDescent="0.3">
      <c r="A200" t="s">
        <v>282</v>
      </c>
      <c r="B200" t="s">
        <v>283</v>
      </c>
      <c r="C200" t="s">
        <v>286</v>
      </c>
      <c r="D200" t="s">
        <v>287</v>
      </c>
      <c r="E200" s="12" t="str">
        <f t="shared" si="3"/>
        <v>Direita</v>
      </c>
    </row>
    <row r="201" spans="1:5" x14ac:dyDescent="0.3">
      <c r="A201" t="s">
        <v>282</v>
      </c>
      <c r="B201" t="s">
        <v>283</v>
      </c>
      <c r="C201" t="s">
        <v>288</v>
      </c>
      <c r="D201" t="s">
        <v>289</v>
      </c>
      <c r="E201" s="12" t="str">
        <f t="shared" si="3"/>
        <v>Direita</v>
      </c>
    </row>
    <row r="202" spans="1:5" x14ac:dyDescent="0.3">
      <c r="A202" t="s">
        <v>282</v>
      </c>
      <c r="B202" t="s">
        <v>283</v>
      </c>
      <c r="C202" t="s">
        <v>165</v>
      </c>
      <c r="D202" t="s">
        <v>166</v>
      </c>
      <c r="E202" s="12" t="str">
        <f t="shared" si="3"/>
        <v>Direita</v>
      </c>
    </row>
    <row r="203" spans="1:5" x14ac:dyDescent="0.3">
      <c r="A203" t="s">
        <v>282</v>
      </c>
      <c r="B203" t="s">
        <v>283</v>
      </c>
      <c r="C203" t="s">
        <v>290</v>
      </c>
      <c r="D203" t="s">
        <v>291</v>
      </c>
      <c r="E203" s="12" t="str">
        <f t="shared" si="3"/>
        <v>Direita</v>
      </c>
    </row>
    <row r="204" spans="1:5" x14ac:dyDescent="0.3">
      <c r="A204" t="s">
        <v>282</v>
      </c>
      <c r="B204" t="s">
        <v>283</v>
      </c>
      <c r="C204" t="s">
        <v>292</v>
      </c>
      <c r="D204" t="s">
        <v>293</v>
      </c>
      <c r="E204" s="12" t="str">
        <f t="shared" si="3"/>
        <v>Direita</v>
      </c>
    </row>
    <row r="205" spans="1:5" x14ac:dyDescent="0.3">
      <c r="A205" t="s">
        <v>282</v>
      </c>
      <c r="B205" t="s">
        <v>283</v>
      </c>
      <c r="C205" t="s">
        <v>294</v>
      </c>
      <c r="D205" t="s">
        <v>295</v>
      </c>
      <c r="E205" s="12" t="str">
        <f t="shared" si="3"/>
        <v>Direita</v>
      </c>
    </row>
    <row r="206" spans="1:5" x14ac:dyDescent="0.3">
      <c r="A206" t="s">
        <v>282</v>
      </c>
      <c r="B206" t="s">
        <v>283</v>
      </c>
      <c r="C206" t="s">
        <v>296</v>
      </c>
      <c r="D206" t="s">
        <v>297</v>
      </c>
      <c r="E206" s="12" t="str">
        <f t="shared" si="3"/>
        <v>Direita</v>
      </c>
    </row>
    <row r="207" spans="1:5" x14ac:dyDescent="0.3">
      <c r="A207" t="s">
        <v>282</v>
      </c>
      <c r="B207" t="s">
        <v>283</v>
      </c>
      <c r="C207" t="s">
        <v>298</v>
      </c>
      <c r="D207" t="s">
        <v>299</v>
      </c>
      <c r="E207" s="12" t="str">
        <f t="shared" si="3"/>
        <v>Direita</v>
      </c>
    </row>
    <row r="208" spans="1:5" x14ac:dyDescent="0.3">
      <c r="A208" t="s">
        <v>282</v>
      </c>
      <c r="B208" t="s">
        <v>283</v>
      </c>
      <c r="C208" t="s">
        <v>30</v>
      </c>
      <c r="D208" t="s">
        <v>31</v>
      </c>
      <c r="E208" s="12" t="str">
        <f t="shared" si="3"/>
        <v>Direita</v>
      </c>
    </row>
    <row r="209" spans="1:5" x14ac:dyDescent="0.3">
      <c r="A209" t="s">
        <v>282</v>
      </c>
      <c r="B209" t="s">
        <v>283</v>
      </c>
      <c r="C209" t="s">
        <v>300</v>
      </c>
      <c r="D209" t="s">
        <v>301</v>
      </c>
      <c r="E209" s="12" t="str">
        <f t="shared" si="3"/>
        <v>Direita</v>
      </c>
    </row>
    <row r="210" spans="1:5" x14ac:dyDescent="0.3">
      <c r="A210" t="s">
        <v>282</v>
      </c>
      <c r="B210" t="s">
        <v>283</v>
      </c>
      <c r="C210" t="s">
        <v>302</v>
      </c>
      <c r="D210" t="s">
        <v>303</v>
      </c>
      <c r="E210" s="12" t="str">
        <f t="shared" si="3"/>
        <v>Direita</v>
      </c>
    </row>
    <row r="211" spans="1:5" x14ac:dyDescent="0.3">
      <c r="A211" t="s">
        <v>282</v>
      </c>
      <c r="B211" t="s">
        <v>283</v>
      </c>
      <c r="C211" t="s">
        <v>304</v>
      </c>
      <c r="D211" t="s">
        <v>305</v>
      </c>
      <c r="E211" s="12" t="str">
        <f t="shared" si="3"/>
        <v>Direita</v>
      </c>
    </row>
    <row r="212" spans="1:5" x14ac:dyDescent="0.3">
      <c r="A212" t="s">
        <v>282</v>
      </c>
      <c r="B212" t="s">
        <v>283</v>
      </c>
      <c r="C212" t="s">
        <v>306</v>
      </c>
      <c r="D212" t="s">
        <v>307</v>
      </c>
      <c r="E212" s="12" t="str">
        <f t="shared" si="3"/>
        <v>Direita</v>
      </c>
    </row>
    <row r="213" spans="1:5" x14ac:dyDescent="0.3">
      <c r="A213" t="s">
        <v>282</v>
      </c>
      <c r="B213" t="s">
        <v>283</v>
      </c>
      <c r="C213" t="s">
        <v>308</v>
      </c>
      <c r="D213" t="s">
        <v>307</v>
      </c>
      <c r="E213" s="12" t="str">
        <f t="shared" si="3"/>
        <v>Direita</v>
      </c>
    </row>
    <row r="214" spans="1:5" x14ac:dyDescent="0.3">
      <c r="A214" t="s">
        <v>282</v>
      </c>
      <c r="B214" t="s">
        <v>283</v>
      </c>
      <c r="C214" t="s">
        <v>312</v>
      </c>
      <c r="D214" t="s">
        <v>313</v>
      </c>
      <c r="E214" s="12" t="str">
        <f t="shared" si="3"/>
        <v>Direita</v>
      </c>
    </row>
    <row r="215" spans="1:5" x14ac:dyDescent="0.3">
      <c r="A215" t="s">
        <v>282</v>
      </c>
      <c r="B215" t="s">
        <v>283</v>
      </c>
      <c r="C215" t="s">
        <v>314</v>
      </c>
      <c r="D215" t="s">
        <v>315</v>
      </c>
      <c r="E215" s="12" t="str">
        <f t="shared" si="3"/>
        <v>Direita</v>
      </c>
    </row>
    <row r="216" spans="1:5" x14ac:dyDescent="0.3">
      <c r="A216" t="s">
        <v>282</v>
      </c>
      <c r="B216" t="s">
        <v>283</v>
      </c>
      <c r="C216" t="s">
        <v>60</v>
      </c>
      <c r="D216" t="s">
        <v>61</v>
      </c>
      <c r="E216" s="12" t="str">
        <f t="shared" si="3"/>
        <v>Direita</v>
      </c>
    </row>
    <row r="217" spans="1:5" x14ac:dyDescent="0.3">
      <c r="A217" t="s">
        <v>282</v>
      </c>
      <c r="B217" t="s">
        <v>283</v>
      </c>
      <c r="C217" t="s">
        <v>62</v>
      </c>
      <c r="D217" t="s">
        <v>63</v>
      </c>
      <c r="E217" s="12" t="str">
        <f t="shared" si="3"/>
        <v>Direita</v>
      </c>
    </row>
    <row r="218" spans="1:5" x14ac:dyDescent="0.3">
      <c r="A218" t="s">
        <v>282</v>
      </c>
      <c r="B218" t="s">
        <v>283</v>
      </c>
      <c r="C218" t="s">
        <v>172</v>
      </c>
      <c r="D218" t="s">
        <v>173</v>
      </c>
      <c r="E218" s="12" t="str">
        <f t="shared" si="3"/>
        <v>Direita</v>
      </c>
    </row>
    <row r="219" spans="1:5" x14ac:dyDescent="0.3">
      <c r="A219" t="s">
        <v>282</v>
      </c>
      <c r="B219" t="s">
        <v>283</v>
      </c>
      <c r="C219" t="s">
        <v>66</v>
      </c>
      <c r="D219" t="s">
        <v>67</v>
      </c>
      <c r="E219" s="12" t="str">
        <f t="shared" si="3"/>
        <v>Direita</v>
      </c>
    </row>
    <row r="220" spans="1:5" x14ac:dyDescent="0.3">
      <c r="A220" t="s">
        <v>282</v>
      </c>
      <c r="B220" t="s">
        <v>283</v>
      </c>
      <c r="C220" t="s">
        <v>316</v>
      </c>
      <c r="D220" t="s">
        <v>317</v>
      </c>
      <c r="E220" s="12" t="str">
        <f t="shared" si="3"/>
        <v>Direita</v>
      </c>
    </row>
    <row r="221" spans="1:5" x14ac:dyDescent="0.3">
      <c r="A221" t="s">
        <v>282</v>
      </c>
      <c r="B221" t="s">
        <v>283</v>
      </c>
      <c r="C221" t="s">
        <v>318</v>
      </c>
      <c r="D221" t="s">
        <v>319</v>
      </c>
      <c r="E221" s="12" t="str">
        <f t="shared" si="3"/>
        <v>Direita</v>
      </c>
    </row>
    <row r="222" spans="1:5" x14ac:dyDescent="0.3">
      <c r="A222" t="s">
        <v>282</v>
      </c>
      <c r="B222" t="s">
        <v>283</v>
      </c>
      <c r="C222" t="s">
        <v>320</v>
      </c>
      <c r="D222" t="s">
        <v>321</v>
      </c>
      <c r="E222" s="12" t="str">
        <f t="shared" si="3"/>
        <v>Direita</v>
      </c>
    </row>
    <row r="223" spans="1:5" x14ac:dyDescent="0.3">
      <c r="A223" t="s">
        <v>282</v>
      </c>
      <c r="B223" t="s">
        <v>283</v>
      </c>
      <c r="C223" t="s">
        <v>322</v>
      </c>
      <c r="D223" t="s">
        <v>323</v>
      </c>
      <c r="E223" s="12" t="str">
        <f t="shared" si="3"/>
        <v>Direita</v>
      </c>
    </row>
    <row r="224" spans="1:5" x14ac:dyDescent="0.3">
      <c r="A224" t="s">
        <v>282</v>
      </c>
      <c r="B224" t="s">
        <v>283</v>
      </c>
      <c r="C224" t="s">
        <v>324</v>
      </c>
      <c r="D224" t="s">
        <v>325</v>
      </c>
      <c r="E224" s="12" t="str">
        <f t="shared" si="3"/>
        <v>Direita</v>
      </c>
    </row>
    <row r="225" spans="1:5" x14ac:dyDescent="0.3">
      <c r="A225" t="s">
        <v>282</v>
      </c>
      <c r="B225" t="s">
        <v>283</v>
      </c>
      <c r="C225" t="s">
        <v>326</v>
      </c>
      <c r="D225" t="s">
        <v>323</v>
      </c>
      <c r="E225" s="12" t="str">
        <f t="shared" si="3"/>
        <v>Direita</v>
      </c>
    </row>
    <row r="226" spans="1:5" x14ac:dyDescent="0.3">
      <c r="A226" t="s">
        <v>282</v>
      </c>
      <c r="B226" t="s">
        <v>283</v>
      </c>
      <c r="C226" t="s">
        <v>327</v>
      </c>
      <c r="D226" t="s">
        <v>323</v>
      </c>
      <c r="E226" s="12" t="str">
        <f t="shared" si="3"/>
        <v>Direita</v>
      </c>
    </row>
    <row r="227" spans="1:5" x14ac:dyDescent="0.3">
      <c r="A227" t="s">
        <v>282</v>
      </c>
      <c r="B227" t="s">
        <v>283</v>
      </c>
      <c r="C227" t="s">
        <v>247</v>
      </c>
      <c r="D227" t="s">
        <v>248</v>
      </c>
      <c r="E227" s="12" t="str">
        <f t="shared" si="3"/>
        <v>Direita</v>
      </c>
    </row>
    <row r="228" spans="1:5" x14ac:dyDescent="0.3">
      <c r="A228" t="s">
        <v>282</v>
      </c>
      <c r="B228" t="s">
        <v>283</v>
      </c>
      <c r="C228" t="s">
        <v>328</v>
      </c>
      <c r="D228" t="s">
        <v>329</v>
      </c>
      <c r="E228" s="12" t="str">
        <f t="shared" si="3"/>
        <v>Direita</v>
      </c>
    </row>
    <row r="229" spans="1:5" x14ac:dyDescent="0.3">
      <c r="A229" t="s">
        <v>282</v>
      </c>
      <c r="B229" t="s">
        <v>283</v>
      </c>
      <c r="C229" t="s">
        <v>192</v>
      </c>
      <c r="D229" t="s">
        <v>193</v>
      </c>
      <c r="E229" s="12" t="str">
        <f t="shared" si="3"/>
        <v>Direita</v>
      </c>
    </row>
    <row r="230" spans="1:5" x14ac:dyDescent="0.3">
      <c r="A230" t="s">
        <v>282</v>
      </c>
      <c r="B230" t="s">
        <v>283</v>
      </c>
      <c r="C230" t="s">
        <v>330</v>
      </c>
      <c r="D230" t="s">
        <v>331</v>
      </c>
      <c r="E230" s="12" t="str">
        <f t="shared" si="3"/>
        <v>Direita</v>
      </c>
    </row>
    <row r="231" spans="1:5" x14ac:dyDescent="0.3">
      <c r="A231" t="s">
        <v>282</v>
      </c>
      <c r="B231" t="s">
        <v>283</v>
      </c>
      <c r="C231" t="s">
        <v>170</v>
      </c>
      <c r="D231" t="s">
        <v>171</v>
      </c>
      <c r="E231" s="12" t="str">
        <f t="shared" si="3"/>
        <v>Direita</v>
      </c>
    </row>
    <row r="232" spans="1:5" x14ac:dyDescent="0.3">
      <c r="A232" t="s">
        <v>282</v>
      </c>
      <c r="B232" t="s">
        <v>283</v>
      </c>
      <c r="C232" t="s">
        <v>261</v>
      </c>
      <c r="D232" t="s">
        <v>262</v>
      </c>
      <c r="E232" s="12" t="str">
        <f t="shared" si="3"/>
        <v>Direita</v>
      </c>
    </row>
    <row r="233" spans="1:5" x14ac:dyDescent="0.3">
      <c r="A233" t="s">
        <v>282</v>
      </c>
      <c r="B233" t="s">
        <v>283</v>
      </c>
      <c r="C233" t="s">
        <v>186</v>
      </c>
      <c r="D233" t="s">
        <v>187</v>
      </c>
      <c r="E233" s="12" t="str">
        <f t="shared" si="3"/>
        <v>Direita</v>
      </c>
    </row>
    <row r="234" spans="1:5" x14ac:dyDescent="0.3">
      <c r="A234" t="s">
        <v>282</v>
      </c>
      <c r="B234" t="s">
        <v>283</v>
      </c>
      <c r="C234" t="s">
        <v>332</v>
      </c>
      <c r="D234" t="s">
        <v>333</v>
      </c>
      <c r="E234" s="12" t="str">
        <f t="shared" si="3"/>
        <v>Direita</v>
      </c>
    </row>
    <row r="235" spans="1:5" x14ac:dyDescent="0.3">
      <c r="A235" t="s">
        <v>282</v>
      </c>
      <c r="B235" t="s">
        <v>283</v>
      </c>
      <c r="C235" t="s">
        <v>188</v>
      </c>
      <c r="D235" t="s">
        <v>189</v>
      </c>
      <c r="E235" s="12" t="str">
        <f t="shared" si="3"/>
        <v>Direita</v>
      </c>
    </row>
    <row r="236" spans="1:5" x14ac:dyDescent="0.3">
      <c r="A236" t="s">
        <v>282</v>
      </c>
      <c r="B236" t="s">
        <v>283</v>
      </c>
      <c r="C236" t="s">
        <v>100</v>
      </c>
      <c r="D236" t="s">
        <v>282</v>
      </c>
      <c r="E236" s="12" t="str">
        <f t="shared" si="3"/>
        <v>Direita</v>
      </c>
    </row>
    <row r="237" spans="1:5" x14ac:dyDescent="0.3">
      <c r="A237" t="s">
        <v>309</v>
      </c>
      <c r="B237" t="s">
        <v>283</v>
      </c>
      <c r="C237" t="s">
        <v>310</v>
      </c>
      <c r="D237" t="s">
        <v>311</v>
      </c>
      <c r="E237" s="12" t="str">
        <f t="shared" si="3"/>
        <v>Direita</v>
      </c>
    </row>
    <row r="238" spans="1:5" x14ac:dyDescent="0.3">
      <c r="A238" t="s">
        <v>871</v>
      </c>
      <c r="B238" t="s">
        <v>872</v>
      </c>
      <c r="C238" t="s">
        <v>492</v>
      </c>
      <c r="D238" t="s">
        <v>493</v>
      </c>
      <c r="E238" s="12" t="str">
        <f t="shared" si="3"/>
        <v>Esquerda</v>
      </c>
    </row>
    <row r="239" spans="1:5" x14ac:dyDescent="0.3">
      <c r="A239" t="s">
        <v>871</v>
      </c>
      <c r="B239" t="s">
        <v>872</v>
      </c>
      <c r="C239" t="s">
        <v>813</v>
      </c>
      <c r="D239" t="s">
        <v>804</v>
      </c>
      <c r="E239" s="12" t="str">
        <f t="shared" si="3"/>
        <v>Esquerda</v>
      </c>
    </row>
    <row r="240" spans="1:5" x14ac:dyDescent="0.3">
      <c r="A240" t="s">
        <v>871</v>
      </c>
      <c r="B240" t="s">
        <v>872</v>
      </c>
      <c r="C240" t="s">
        <v>204</v>
      </c>
      <c r="D240" t="s">
        <v>205</v>
      </c>
      <c r="E240" s="12" t="str">
        <f t="shared" si="3"/>
        <v>Esquerda</v>
      </c>
    </row>
    <row r="241" spans="1:5" x14ac:dyDescent="0.3">
      <c r="A241" t="s">
        <v>871</v>
      </c>
      <c r="B241" t="s">
        <v>872</v>
      </c>
      <c r="C241" t="s">
        <v>345</v>
      </c>
      <c r="D241" t="s">
        <v>346</v>
      </c>
      <c r="E241" s="12" t="str">
        <f t="shared" si="3"/>
        <v>Esquerda</v>
      </c>
    </row>
    <row r="242" spans="1:5" x14ac:dyDescent="0.3">
      <c r="A242" t="s">
        <v>871</v>
      </c>
      <c r="B242" t="s">
        <v>872</v>
      </c>
      <c r="C242" t="s">
        <v>347</v>
      </c>
      <c r="D242" t="s">
        <v>348</v>
      </c>
      <c r="E242" s="12" t="str">
        <f t="shared" si="3"/>
        <v>Esquerda</v>
      </c>
    </row>
    <row r="243" spans="1:5" x14ac:dyDescent="0.3">
      <c r="A243" t="s">
        <v>871</v>
      </c>
      <c r="B243" t="s">
        <v>872</v>
      </c>
      <c r="C243" t="s">
        <v>803</v>
      </c>
      <c r="D243" t="s">
        <v>804</v>
      </c>
      <c r="E243" s="12" t="str">
        <f t="shared" si="3"/>
        <v>Esquerda</v>
      </c>
    </row>
    <row r="244" spans="1:5" x14ac:dyDescent="0.3">
      <c r="A244" t="s">
        <v>871</v>
      </c>
      <c r="B244" t="s">
        <v>872</v>
      </c>
      <c r="C244" t="s">
        <v>500</v>
      </c>
      <c r="D244" t="s">
        <v>501</v>
      </c>
      <c r="E244" s="12" t="str">
        <f t="shared" si="3"/>
        <v>Esquerda</v>
      </c>
    </row>
    <row r="245" spans="1:5" x14ac:dyDescent="0.3">
      <c r="A245" t="s">
        <v>871</v>
      </c>
      <c r="B245" t="s">
        <v>872</v>
      </c>
      <c r="C245" t="s">
        <v>237</v>
      </c>
      <c r="D245" t="s">
        <v>804</v>
      </c>
      <c r="E245" s="12" t="str">
        <f t="shared" si="3"/>
        <v>Esquerda</v>
      </c>
    </row>
    <row r="246" spans="1:5" x14ac:dyDescent="0.3">
      <c r="A246" t="s">
        <v>871</v>
      </c>
      <c r="B246" t="s">
        <v>872</v>
      </c>
      <c r="C246" t="s">
        <v>474</v>
      </c>
      <c r="D246" t="s">
        <v>475</v>
      </c>
      <c r="E246" s="12" t="str">
        <f t="shared" si="3"/>
        <v>Esquerda</v>
      </c>
    </row>
    <row r="247" spans="1:5" x14ac:dyDescent="0.3">
      <c r="A247" t="s">
        <v>871</v>
      </c>
      <c r="B247" t="s">
        <v>872</v>
      </c>
      <c r="C247" t="s">
        <v>28</v>
      </c>
      <c r="D247" t="s">
        <v>29</v>
      </c>
      <c r="E247" s="12" t="str">
        <f t="shared" si="3"/>
        <v>Esquerda</v>
      </c>
    </row>
    <row r="248" spans="1:5" x14ac:dyDescent="0.3">
      <c r="A248" t="s">
        <v>871</v>
      </c>
      <c r="B248" t="s">
        <v>872</v>
      </c>
      <c r="C248" t="s">
        <v>513</v>
      </c>
      <c r="D248" t="s">
        <v>514</v>
      </c>
      <c r="E248" s="12" t="str">
        <f t="shared" si="3"/>
        <v>Esquerda</v>
      </c>
    </row>
    <row r="249" spans="1:5" x14ac:dyDescent="0.3">
      <c r="A249" t="s">
        <v>871</v>
      </c>
      <c r="B249" t="s">
        <v>872</v>
      </c>
      <c r="C249" t="s">
        <v>760</v>
      </c>
      <c r="D249" t="s">
        <v>761</v>
      </c>
      <c r="E249" s="12" t="str">
        <f t="shared" si="3"/>
        <v>Esquerda</v>
      </c>
    </row>
    <row r="250" spans="1:5" x14ac:dyDescent="0.3">
      <c r="A250" t="s">
        <v>871</v>
      </c>
      <c r="B250" t="s">
        <v>872</v>
      </c>
      <c r="C250" t="s">
        <v>265</v>
      </c>
      <c r="D250" t="s">
        <v>266</v>
      </c>
      <c r="E250" s="12" t="str">
        <f t="shared" si="3"/>
        <v>Esquerda</v>
      </c>
    </row>
    <row r="251" spans="1:5" x14ac:dyDescent="0.3">
      <c r="A251" t="s">
        <v>871</v>
      </c>
      <c r="B251" t="s">
        <v>872</v>
      </c>
      <c r="C251" t="s">
        <v>414</v>
      </c>
      <c r="D251" t="s">
        <v>415</v>
      </c>
      <c r="E251" s="12" t="str">
        <f t="shared" si="3"/>
        <v>Esquerda</v>
      </c>
    </row>
    <row r="252" spans="1:5" x14ac:dyDescent="0.3">
      <c r="A252" t="s">
        <v>871</v>
      </c>
      <c r="B252" t="s">
        <v>872</v>
      </c>
      <c r="C252" t="s">
        <v>151</v>
      </c>
      <c r="D252" t="s">
        <v>152</v>
      </c>
      <c r="E252" s="12" t="str">
        <f t="shared" si="3"/>
        <v>Esquerda</v>
      </c>
    </row>
    <row r="253" spans="1:5" x14ac:dyDescent="0.3">
      <c r="A253" t="s">
        <v>871</v>
      </c>
      <c r="B253" t="s">
        <v>872</v>
      </c>
      <c r="C253" t="s">
        <v>805</v>
      </c>
      <c r="D253" t="s">
        <v>806</v>
      </c>
      <c r="E253" s="12" t="str">
        <f t="shared" si="3"/>
        <v>Esquerda</v>
      </c>
    </row>
    <row r="254" spans="1:5" x14ac:dyDescent="0.3">
      <c r="A254" t="s">
        <v>871</v>
      </c>
      <c r="B254" t="s">
        <v>872</v>
      </c>
      <c r="C254" t="s">
        <v>672</v>
      </c>
      <c r="D254" t="s">
        <v>673</v>
      </c>
      <c r="E254" s="12" t="str">
        <f t="shared" si="3"/>
        <v>Esquerda</v>
      </c>
    </row>
    <row r="255" spans="1:5" x14ac:dyDescent="0.3">
      <c r="A255" t="s">
        <v>871</v>
      </c>
      <c r="B255" t="s">
        <v>872</v>
      </c>
      <c r="C255" t="s">
        <v>703</v>
      </c>
      <c r="D255" t="s">
        <v>704</v>
      </c>
      <c r="E255" s="12" t="str">
        <f t="shared" si="3"/>
        <v>Esquerda</v>
      </c>
    </row>
    <row r="256" spans="1:5" x14ac:dyDescent="0.3">
      <c r="A256" t="s">
        <v>871</v>
      </c>
      <c r="B256" t="s">
        <v>872</v>
      </c>
      <c r="C256" t="s">
        <v>774</v>
      </c>
      <c r="D256" t="s">
        <v>775</v>
      </c>
      <c r="E256" s="12" t="str">
        <f t="shared" si="3"/>
        <v>Esquerda</v>
      </c>
    </row>
    <row r="257" spans="1:5" x14ac:dyDescent="0.3">
      <c r="A257" t="s">
        <v>871</v>
      </c>
      <c r="B257" t="s">
        <v>872</v>
      </c>
      <c r="C257" t="s">
        <v>249</v>
      </c>
      <c r="D257" t="s">
        <v>250</v>
      </c>
      <c r="E257" s="12" t="str">
        <f t="shared" si="3"/>
        <v>Esquerda</v>
      </c>
    </row>
    <row r="258" spans="1:5" x14ac:dyDescent="0.3">
      <c r="A258" t="s">
        <v>871</v>
      </c>
      <c r="B258" t="s">
        <v>872</v>
      </c>
      <c r="C258" t="s">
        <v>712</v>
      </c>
      <c r="D258" t="s">
        <v>713</v>
      </c>
      <c r="E258" s="12" t="str">
        <f t="shared" si="3"/>
        <v>Esquerda</v>
      </c>
    </row>
    <row r="259" spans="1:5" x14ac:dyDescent="0.3">
      <c r="A259" t="s">
        <v>871</v>
      </c>
      <c r="B259" t="s">
        <v>872</v>
      </c>
      <c r="C259" t="s">
        <v>228</v>
      </c>
      <c r="D259" t="s">
        <v>229</v>
      </c>
      <c r="E259" s="12" t="str">
        <f t="shared" ref="E259:E322" si="4">IF(INDEX(K:K,MATCH(A259,I:I,0))&lt;&gt;0,INDEX(K:K,MATCH(A259,I:I,0)),"")</f>
        <v>Esquerda</v>
      </c>
    </row>
    <row r="260" spans="1:5" x14ac:dyDescent="0.3">
      <c r="A260" t="s">
        <v>871</v>
      </c>
      <c r="B260" t="s">
        <v>872</v>
      </c>
      <c r="C260" t="s">
        <v>727</v>
      </c>
      <c r="D260" t="s">
        <v>728</v>
      </c>
      <c r="E260" s="12" t="str">
        <f t="shared" si="4"/>
        <v>Esquerda</v>
      </c>
    </row>
    <row r="261" spans="1:5" x14ac:dyDescent="0.3">
      <c r="A261" t="s">
        <v>871</v>
      </c>
      <c r="B261" t="s">
        <v>872</v>
      </c>
      <c r="C261" t="s">
        <v>235</v>
      </c>
      <c r="D261" t="s">
        <v>236</v>
      </c>
      <c r="E261" s="12" t="str">
        <f t="shared" si="4"/>
        <v>Esquerda</v>
      </c>
    </row>
    <row r="262" spans="1:5" x14ac:dyDescent="0.3">
      <c r="A262" t="s">
        <v>871</v>
      </c>
      <c r="B262" t="s">
        <v>872</v>
      </c>
      <c r="C262" t="s">
        <v>184</v>
      </c>
      <c r="D262" t="s">
        <v>185</v>
      </c>
      <c r="E262" s="12" t="str">
        <f t="shared" si="4"/>
        <v>Esquerda</v>
      </c>
    </row>
    <row r="263" spans="1:5" x14ac:dyDescent="0.3">
      <c r="A263" t="s">
        <v>871</v>
      </c>
      <c r="B263" t="s">
        <v>872</v>
      </c>
      <c r="C263" t="s">
        <v>68</v>
      </c>
      <c r="D263" t="s">
        <v>69</v>
      </c>
      <c r="E263" s="12" t="str">
        <f t="shared" si="4"/>
        <v>Esquerda</v>
      </c>
    </row>
    <row r="264" spans="1:5" x14ac:dyDescent="0.3">
      <c r="A264" t="s">
        <v>871</v>
      </c>
      <c r="B264" t="s">
        <v>872</v>
      </c>
      <c r="C264" t="s">
        <v>812</v>
      </c>
      <c r="D264" t="s">
        <v>804</v>
      </c>
      <c r="E264" s="12" t="str">
        <f t="shared" si="4"/>
        <v>Esquerda</v>
      </c>
    </row>
    <row r="265" spans="1:5" x14ac:dyDescent="0.3">
      <c r="A265" t="s">
        <v>871</v>
      </c>
      <c r="B265" t="s">
        <v>872</v>
      </c>
      <c r="C265" t="s">
        <v>386</v>
      </c>
      <c r="D265" t="s">
        <v>387</v>
      </c>
      <c r="E265" s="12" t="str">
        <f t="shared" si="4"/>
        <v>Esquerda</v>
      </c>
    </row>
    <row r="266" spans="1:5" x14ac:dyDescent="0.3">
      <c r="A266" t="s">
        <v>871</v>
      </c>
      <c r="B266" t="s">
        <v>872</v>
      </c>
      <c r="C266" t="s">
        <v>100</v>
      </c>
      <c r="D266" t="s">
        <v>871</v>
      </c>
      <c r="E266" s="12" t="str">
        <f t="shared" si="4"/>
        <v>Esquerda</v>
      </c>
    </row>
    <row r="267" spans="1:5" x14ac:dyDescent="0.3">
      <c r="A267" t="s">
        <v>871</v>
      </c>
      <c r="B267" t="s">
        <v>872</v>
      </c>
      <c r="C267" t="s">
        <v>655</v>
      </c>
      <c r="D267" t="s">
        <v>656</v>
      </c>
      <c r="E267" s="12" t="str">
        <f t="shared" si="4"/>
        <v>Esquerda</v>
      </c>
    </row>
    <row r="268" spans="1:5" x14ac:dyDescent="0.3">
      <c r="A268" t="s">
        <v>871</v>
      </c>
      <c r="B268" t="s">
        <v>872</v>
      </c>
      <c r="C268" t="s">
        <v>657</v>
      </c>
      <c r="D268" t="s">
        <v>658</v>
      </c>
      <c r="E268" s="12" t="str">
        <f t="shared" si="4"/>
        <v>Esquerda</v>
      </c>
    </row>
    <row r="269" spans="1:5" x14ac:dyDescent="0.3">
      <c r="A269" t="s">
        <v>871</v>
      </c>
      <c r="B269" t="s">
        <v>872</v>
      </c>
      <c r="C269" t="s">
        <v>631</v>
      </c>
      <c r="D269" t="s">
        <v>632</v>
      </c>
      <c r="E269" s="12" t="str">
        <f t="shared" si="4"/>
        <v>Esquerda</v>
      </c>
    </row>
    <row r="270" spans="1:5" x14ac:dyDescent="0.3">
      <c r="A270" t="s">
        <v>871</v>
      </c>
      <c r="B270" t="s">
        <v>872</v>
      </c>
      <c r="C270" t="s">
        <v>684</v>
      </c>
      <c r="D270" t="s">
        <v>685</v>
      </c>
      <c r="E270" s="12" t="str">
        <f t="shared" si="4"/>
        <v>Esquerda</v>
      </c>
    </row>
    <row r="271" spans="1:5" x14ac:dyDescent="0.3">
      <c r="A271" t="s">
        <v>871</v>
      </c>
      <c r="B271" t="s">
        <v>872</v>
      </c>
      <c r="C271" t="s">
        <v>815</v>
      </c>
      <c r="D271" t="s">
        <v>804</v>
      </c>
      <c r="E271" s="12" t="str">
        <f t="shared" si="4"/>
        <v>Esquerda</v>
      </c>
    </row>
    <row r="272" spans="1:5" x14ac:dyDescent="0.3">
      <c r="A272" t="s">
        <v>871</v>
      </c>
      <c r="B272" t="s">
        <v>872</v>
      </c>
      <c r="C272" t="s">
        <v>768</v>
      </c>
      <c r="D272" t="s">
        <v>769</v>
      </c>
      <c r="E272" s="12" t="str">
        <f t="shared" si="4"/>
        <v>Esquerda</v>
      </c>
    </row>
    <row r="273" spans="1:5" x14ac:dyDescent="0.3">
      <c r="A273" t="s">
        <v>871</v>
      </c>
      <c r="B273" t="s">
        <v>872</v>
      </c>
      <c r="C273" t="s">
        <v>448</v>
      </c>
      <c r="D273" t="s">
        <v>449</v>
      </c>
      <c r="E273" s="12" t="str">
        <f t="shared" si="4"/>
        <v>Esquerda</v>
      </c>
    </row>
    <row r="274" spans="1:5" x14ac:dyDescent="0.3">
      <c r="A274" t="s">
        <v>871</v>
      </c>
      <c r="B274" t="s">
        <v>872</v>
      </c>
      <c r="C274" t="s">
        <v>450</v>
      </c>
      <c r="D274" t="s">
        <v>451</v>
      </c>
      <c r="E274" s="12" t="str">
        <f t="shared" si="4"/>
        <v>Esquerda</v>
      </c>
    </row>
    <row r="275" spans="1:5" x14ac:dyDescent="0.3">
      <c r="A275" t="s">
        <v>871</v>
      </c>
      <c r="B275" t="s">
        <v>872</v>
      </c>
      <c r="C275" t="s">
        <v>58</v>
      </c>
      <c r="D275" t="s">
        <v>59</v>
      </c>
      <c r="E275" s="12" t="str">
        <f t="shared" si="4"/>
        <v>Esquerda</v>
      </c>
    </row>
    <row r="276" spans="1:5" x14ac:dyDescent="0.3">
      <c r="A276" t="s">
        <v>871</v>
      </c>
      <c r="B276" t="s">
        <v>872</v>
      </c>
      <c r="C276" t="s">
        <v>361</v>
      </c>
      <c r="D276" t="s">
        <v>362</v>
      </c>
      <c r="E276" s="12" t="str">
        <f t="shared" si="4"/>
        <v>Esquerda</v>
      </c>
    </row>
    <row r="277" spans="1:5" x14ac:dyDescent="0.3">
      <c r="A277" t="s">
        <v>871</v>
      </c>
      <c r="B277" t="s">
        <v>872</v>
      </c>
      <c r="C277" t="s">
        <v>163</v>
      </c>
      <c r="D277" t="s">
        <v>164</v>
      </c>
      <c r="E277" s="12" t="str">
        <f t="shared" si="4"/>
        <v>Esquerda</v>
      </c>
    </row>
    <row r="278" spans="1:5" x14ac:dyDescent="0.3">
      <c r="A278" t="s">
        <v>871</v>
      </c>
      <c r="B278" t="s">
        <v>872</v>
      </c>
      <c r="C278" t="s">
        <v>814</v>
      </c>
      <c r="D278" t="s">
        <v>804</v>
      </c>
      <c r="E278" s="12" t="str">
        <f t="shared" si="4"/>
        <v>Esquerda</v>
      </c>
    </row>
    <row r="279" spans="1:5" x14ac:dyDescent="0.3">
      <c r="A279" t="s">
        <v>871</v>
      </c>
      <c r="B279" t="s">
        <v>872</v>
      </c>
      <c r="C279" t="s">
        <v>797</v>
      </c>
      <c r="D279" t="s">
        <v>798</v>
      </c>
      <c r="E279" s="12" t="str">
        <f t="shared" si="4"/>
        <v>Esquerda</v>
      </c>
    </row>
    <row r="280" spans="1:5" x14ac:dyDescent="0.3">
      <c r="A280" t="s">
        <v>871</v>
      </c>
      <c r="B280" t="s">
        <v>872</v>
      </c>
      <c r="C280" t="s">
        <v>46</v>
      </c>
      <c r="D280" t="s">
        <v>47</v>
      </c>
      <c r="E280" s="12" t="str">
        <f t="shared" si="4"/>
        <v>Esquerda</v>
      </c>
    </row>
    <row r="281" spans="1:5" x14ac:dyDescent="0.3">
      <c r="A281" t="s">
        <v>133</v>
      </c>
      <c r="B281" t="s">
        <v>134</v>
      </c>
      <c r="C281" t="s">
        <v>100</v>
      </c>
      <c r="D281" t="s">
        <v>133</v>
      </c>
      <c r="E281" s="12" t="str">
        <f t="shared" si="4"/>
        <v>Indefinido</v>
      </c>
    </row>
    <row r="282" spans="1:5" x14ac:dyDescent="0.3">
      <c r="A282" t="s">
        <v>131</v>
      </c>
      <c r="B282" t="s">
        <v>132</v>
      </c>
      <c r="C282" t="s">
        <v>100</v>
      </c>
      <c r="D282" t="s">
        <v>131</v>
      </c>
      <c r="E282" s="12" t="str">
        <f t="shared" si="4"/>
        <v>Indefinido</v>
      </c>
    </row>
    <row r="283" spans="1:5" x14ac:dyDescent="0.3">
      <c r="A283" t="s">
        <v>129</v>
      </c>
      <c r="B283" t="s">
        <v>130</v>
      </c>
      <c r="C283" t="s">
        <v>100</v>
      </c>
      <c r="D283" t="s">
        <v>129</v>
      </c>
      <c r="E283" s="12" t="str">
        <f t="shared" si="4"/>
        <v>Indefinido</v>
      </c>
    </row>
    <row r="284" spans="1:5" x14ac:dyDescent="0.3">
      <c r="A284" t="s">
        <v>127</v>
      </c>
      <c r="B284" t="s">
        <v>128</v>
      </c>
      <c r="C284" t="s">
        <v>100</v>
      </c>
      <c r="D284" t="s">
        <v>127</v>
      </c>
      <c r="E284" s="12" t="str">
        <f t="shared" si="4"/>
        <v>Indefinido</v>
      </c>
    </row>
    <row r="285" spans="1:5" x14ac:dyDescent="0.3">
      <c r="A285" t="s">
        <v>125</v>
      </c>
      <c r="B285" t="s">
        <v>126</v>
      </c>
      <c r="C285" t="s">
        <v>100</v>
      </c>
      <c r="D285" t="s">
        <v>125</v>
      </c>
      <c r="E285" s="12" t="str">
        <f t="shared" si="4"/>
        <v>Indefinido</v>
      </c>
    </row>
    <row r="286" spans="1:5" x14ac:dyDescent="0.3">
      <c r="A286" t="s">
        <v>123</v>
      </c>
      <c r="B286" t="s">
        <v>124</v>
      </c>
      <c r="C286" t="s">
        <v>100</v>
      </c>
      <c r="D286" t="s">
        <v>123</v>
      </c>
      <c r="E286" s="12" t="str">
        <f t="shared" si="4"/>
        <v>Indefinido</v>
      </c>
    </row>
    <row r="287" spans="1:5" x14ac:dyDescent="0.3">
      <c r="A287" t="s">
        <v>121</v>
      </c>
      <c r="B287" t="s">
        <v>122</v>
      </c>
      <c r="C287" t="s">
        <v>100</v>
      </c>
      <c r="D287" t="s">
        <v>121</v>
      </c>
      <c r="E287" s="12" t="str">
        <f t="shared" si="4"/>
        <v>Indefinido</v>
      </c>
    </row>
    <row r="288" spans="1:5" x14ac:dyDescent="0.3">
      <c r="A288" t="s">
        <v>119</v>
      </c>
      <c r="B288" t="s">
        <v>120</v>
      </c>
      <c r="C288" t="s">
        <v>100</v>
      </c>
      <c r="D288" t="s">
        <v>119</v>
      </c>
      <c r="E288" s="12" t="str">
        <f t="shared" si="4"/>
        <v>Indefinido</v>
      </c>
    </row>
    <row r="289" spans="1:5" x14ac:dyDescent="0.3">
      <c r="A289" t="s">
        <v>117</v>
      </c>
      <c r="B289" t="s">
        <v>118</v>
      </c>
      <c r="C289" t="s">
        <v>100</v>
      </c>
      <c r="D289" t="s">
        <v>117</v>
      </c>
      <c r="E289" s="12" t="str">
        <f t="shared" si="4"/>
        <v>Indefinido</v>
      </c>
    </row>
    <row r="290" spans="1:5" x14ac:dyDescent="0.3">
      <c r="A290" t="s">
        <v>115</v>
      </c>
      <c r="B290" t="s">
        <v>116</v>
      </c>
      <c r="C290" t="s">
        <v>100</v>
      </c>
      <c r="D290" t="s">
        <v>115</v>
      </c>
      <c r="E290" s="12" t="str">
        <f t="shared" si="4"/>
        <v>Indefinido</v>
      </c>
    </row>
    <row r="291" spans="1:5" x14ac:dyDescent="0.3">
      <c r="A291" t="s">
        <v>113</v>
      </c>
      <c r="B291" t="s">
        <v>114</v>
      </c>
      <c r="C291" t="s">
        <v>100</v>
      </c>
      <c r="D291" t="s">
        <v>113</v>
      </c>
      <c r="E291" s="12" t="str">
        <f t="shared" si="4"/>
        <v>Indefinido</v>
      </c>
    </row>
    <row r="292" spans="1:5" x14ac:dyDescent="0.3">
      <c r="A292" t="s">
        <v>111</v>
      </c>
      <c r="B292" t="s">
        <v>112</v>
      </c>
      <c r="C292" t="s">
        <v>100</v>
      </c>
      <c r="D292" t="s">
        <v>111</v>
      </c>
      <c r="E292" s="12" t="str">
        <f t="shared" si="4"/>
        <v>Indefinido</v>
      </c>
    </row>
    <row r="293" spans="1:5" x14ac:dyDescent="0.3">
      <c r="A293" t="s">
        <v>109</v>
      </c>
      <c r="B293" t="s">
        <v>110</v>
      </c>
      <c r="C293" t="s">
        <v>100</v>
      </c>
      <c r="D293" t="s">
        <v>109</v>
      </c>
      <c r="E293" s="12" t="str">
        <f t="shared" si="4"/>
        <v>Indefinido</v>
      </c>
    </row>
    <row r="294" spans="1:5" x14ac:dyDescent="0.3">
      <c r="A294" t="s">
        <v>107</v>
      </c>
      <c r="B294" t="s">
        <v>108</v>
      </c>
      <c r="C294" t="s">
        <v>100</v>
      </c>
      <c r="D294" t="s">
        <v>107</v>
      </c>
      <c r="E294" s="12" t="str">
        <f t="shared" si="4"/>
        <v>Indefinido</v>
      </c>
    </row>
    <row r="295" spans="1:5" x14ac:dyDescent="0.3">
      <c r="A295" t="s">
        <v>105</v>
      </c>
      <c r="B295" t="s">
        <v>106</v>
      </c>
      <c r="C295" t="s">
        <v>100</v>
      </c>
      <c r="D295" t="s">
        <v>105</v>
      </c>
      <c r="E295" s="12" t="str">
        <f t="shared" si="4"/>
        <v>Indefinido</v>
      </c>
    </row>
    <row r="296" spans="1:5" x14ac:dyDescent="0.3">
      <c r="A296" t="s">
        <v>103</v>
      </c>
      <c r="B296" t="s">
        <v>104</v>
      </c>
      <c r="C296" t="s">
        <v>100</v>
      </c>
      <c r="D296" t="s">
        <v>103</v>
      </c>
      <c r="E296" s="12" t="str">
        <f t="shared" si="4"/>
        <v>Indefinido</v>
      </c>
    </row>
    <row r="297" spans="1:5" x14ac:dyDescent="0.3">
      <c r="A297" t="s">
        <v>101</v>
      </c>
      <c r="B297" t="s">
        <v>102</v>
      </c>
      <c r="C297" t="s">
        <v>100</v>
      </c>
      <c r="D297" t="s">
        <v>101</v>
      </c>
      <c r="E297" s="12" t="str">
        <f t="shared" si="4"/>
        <v>Indefinido</v>
      </c>
    </row>
    <row r="298" spans="1:5" x14ac:dyDescent="0.3">
      <c r="A298" t="s">
        <v>873</v>
      </c>
      <c r="B298" t="s">
        <v>874</v>
      </c>
      <c r="C298" t="s">
        <v>548</v>
      </c>
      <c r="D298" t="s">
        <v>543</v>
      </c>
      <c r="E298" s="12" t="str">
        <f t="shared" si="4"/>
        <v>Esquerda</v>
      </c>
    </row>
    <row r="299" spans="1:5" x14ac:dyDescent="0.3">
      <c r="A299" t="s">
        <v>873</v>
      </c>
      <c r="B299" t="s">
        <v>874</v>
      </c>
      <c r="C299" t="s">
        <v>486</v>
      </c>
      <c r="D299" t="s">
        <v>543</v>
      </c>
      <c r="E299" s="12" t="str">
        <f t="shared" si="4"/>
        <v>Esquerda</v>
      </c>
    </row>
    <row r="300" spans="1:5" x14ac:dyDescent="0.3">
      <c r="A300" t="s">
        <v>873</v>
      </c>
      <c r="B300" t="s">
        <v>874</v>
      </c>
      <c r="C300" t="s">
        <v>542</v>
      </c>
      <c r="D300" t="s">
        <v>543</v>
      </c>
      <c r="E300" s="12" t="str">
        <f t="shared" si="4"/>
        <v>Esquerda</v>
      </c>
    </row>
    <row r="301" spans="1:5" x14ac:dyDescent="0.3">
      <c r="A301" t="s">
        <v>873</v>
      </c>
      <c r="B301" t="s">
        <v>874</v>
      </c>
      <c r="C301" t="s">
        <v>552</v>
      </c>
      <c r="D301" t="s">
        <v>543</v>
      </c>
      <c r="E301" s="12" t="str">
        <f t="shared" si="4"/>
        <v>Esquerda</v>
      </c>
    </row>
    <row r="302" spans="1:5" x14ac:dyDescent="0.3">
      <c r="A302" t="s">
        <v>873</v>
      </c>
      <c r="B302" t="s">
        <v>874</v>
      </c>
      <c r="C302" t="s">
        <v>546</v>
      </c>
      <c r="D302" t="s">
        <v>547</v>
      </c>
      <c r="E302" s="12" t="str">
        <f t="shared" si="4"/>
        <v>Esquerda</v>
      </c>
    </row>
    <row r="303" spans="1:5" x14ac:dyDescent="0.3">
      <c r="A303" t="s">
        <v>873</v>
      </c>
      <c r="B303" t="s">
        <v>874</v>
      </c>
      <c r="C303" t="s">
        <v>545</v>
      </c>
      <c r="D303" t="s">
        <v>543</v>
      </c>
      <c r="E303" s="12" t="str">
        <f t="shared" si="4"/>
        <v>Esquerda</v>
      </c>
    </row>
    <row r="304" spans="1:5" x14ac:dyDescent="0.3">
      <c r="A304" t="s">
        <v>873</v>
      </c>
      <c r="B304" t="s">
        <v>874</v>
      </c>
      <c r="C304" t="s">
        <v>553</v>
      </c>
      <c r="D304" t="s">
        <v>543</v>
      </c>
      <c r="E304" s="12" t="str">
        <f t="shared" si="4"/>
        <v>Esquerda</v>
      </c>
    </row>
    <row r="305" spans="1:5" x14ac:dyDescent="0.3">
      <c r="A305" t="s">
        <v>873</v>
      </c>
      <c r="B305" t="s">
        <v>874</v>
      </c>
      <c r="C305" t="s">
        <v>486</v>
      </c>
      <c r="D305" t="s">
        <v>487</v>
      </c>
      <c r="E305" s="12" t="str">
        <f t="shared" si="4"/>
        <v>Esquerda</v>
      </c>
    </row>
    <row r="306" spans="1:5" x14ac:dyDescent="0.3">
      <c r="A306" t="s">
        <v>873</v>
      </c>
      <c r="B306" t="s">
        <v>874</v>
      </c>
      <c r="C306" t="s">
        <v>556</v>
      </c>
      <c r="D306" t="s">
        <v>543</v>
      </c>
      <c r="E306" s="12" t="str">
        <f t="shared" si="4"/>
        <v>Esquerda</v>
      </c>
    </row>
    <row r="307" spans="1:5" x14ac:dyDescent="0.3">
      <c r="A307" t="s">
        <v>873</v>
      </c>
      <c r="B307" t="s">
        <v>874</v>
      </c>
      <c r="C307" t="s">
        <v>555</v>
      </c>
      <c r="D307" t="s">
        <v>543</v>
      </c>
      <c r="E307" s="12" t="str">
        <f t="shared" si="4"/>
        <v>Esquerda</v>
      </c>
    </row>
    <row r="308" spans="1:5" x14ac:dyDescent="0.3">
      <c r="A308" t="s">
        <v>873</v>
      </c>
      <c r="B308" t="s">
        <v>874</v>
      </c>
      <c r="C308" t="s">
        <v>554</v>
      </c>
      <c r="D308" t="s">
        <v>543</v>
      </c>
      <c r="E308" s="12" t="str">
        <f t="shared" si="4"/>
        <v>Esquerda</v>
      </c>
    </row>
    <row r="309" spans="1:5" x14ac:dyDescent="0.3">
      <c r="A309" t="s">
        <v>873</v>
      </c>
      <c r="B309" t="s">
        <v>874</v>
      </c>
      <c r="C309" t="s">
        <v>100</v>
      </c>
      <c r="D309" t="s">
        <v>873</v>
      </c>
      <c r="E309" s="12" t="str">
        <f t="shared" si="4"/>
        <v>Esquerda</v>
      </c>
    </row>
    <row r="310" spans="1:5" x14ac:dyDescent="0.3">
      <c r="A310" t="s">
        <v>873</v>
      </c>
      <c r="B310" t="s">
        <v>874</v>
      </c>
      <c r="C310" t="s">
        <v>557</v>
      </c>
      <c r="D310" t="s">
        <v>543</v>
      </c>
      <c r="E310" s="12" t="str">
        <f t="shared" si="4"/>
        <v>Esquerda</v>
      </c>
    </row>
    <row r="311" spans="1:5" x14ac:dyDescent="0.3">
      <c r="A311" t="s">
        <v>869</v>
      </c>
      <c r="B311" t="s">
        <v>870</v>
      </c>
      <c r="C311" t="s">
        <v>100</v>
      </c>
      <c r="D311" t="s">
        <v>869</v>
      </c>
      <c r="E311" s="12" t="str">
        <f t="shared" si="4"/>
        <v>Esquerda</v>
      </c>
    </row>
    <row r="312" spans="1:5" x14ac:dyDescent="0.3">
      <c r="A312" t="s">
        <v>817</v>
      </c>
      <c r="B312" t="s">
        <v>818</v>
      </c>
      <c r="C312" t="s">
        <v>705</v>
      </c>
      <c r="D312" t="s">
        <v>706</v>
      </c>
      <c r="E312" s="12" t="str">
        <f t="shared" si="4"/>
        <v>Centro esquerda</v>
      </c>
    </row>
    <row r="313" spans="1:5" x14ac:dyDescent="0.3">
      <c r="A313" t="s">
        <v>817</v>
      </c>
      <c r="B313" t="s">
        <v>818</v>
      </c>
      <c r="C313" t="s">
        <v>265</v>
      </c>
      <c r="D313" t="s">
        <v>266</v>
      </c>
      <c r="E313" s="12" t="str">
        <f t="shared" si="4"/>
        <v>Centro esquerda</v>
      </c>
    </row>
    <row r="314" spans="1:5" x14ac:dyDescent="0.3">
      <c r="A314" t="s">
        <v>817</v>
      </c>
      <c r="B314" t="s">
        <v>818</v>
      </c>
      <c r="C314" t="s">
        <v>228</v>
      </c>
      <c r="D314" t="s">
        <v>229</v>
      </c>
      <c r="E314" s="12" t="str">
        <f t="shared" si="4"/>
        <v>Centro esquerda</v>
      </c>
    </row>
    <row r="315" spans="1:5" x14ac:dyDescent="0.3">
      <c r="A315" t="s">
        <v>817</v>
      </c>
      <c r="B315" t="s">
        <v>818</v>
      </c>
      <c r="C315" t="s">
        <v>235</v>
      </c>
      <c r="D315" t="s">
        <v>236</v>
      </c>
      <c r="E315" s="12" t="str">
        <f t="shared" si="4"/>
        <v>Centro esquerda</v>
      </c>
    </row>
    <row r="316" spans="1:5" x14ac:dyDescent="0.3">
      <c r="A316" t="s">
        <v>817</v>
      </c>
      <c r="B316" t="s">
        <v>818</v>
      </c>
      <c r="C316" t="s">
        <v>214</v>
      </c>
      <c r="D316" t="s">
        <v>215</v>
      </c>
      <c r="E316" s="12" t="str">
        <f t="shared" si="4"/>
        <v>Centro esquerda</v>
      </c>
    </row>
    <row r="317" spans="1:5" x14ac:dyDescent="0.3">
      <c r="A317" t="s">
        <v>817</v>
      </c>
      <c r="B317" t="s">
        <v>818</v>
      </c>
      <c r="C317" t="s">
        <v>216</v>
      </c>
      <c r="D317" t="s">
        <v>217</v>
      </c>
      <c r="E317" s="12" t="str">
        <f t="shared" si="4"/>
        <v>Centro esquerda</v>
      </c>
    </row>
    <row r="318" spans="1:5" x14ac:dyDescent="0.3">
      <c r="A318" t="s">
        <v>817</v>
      </c>
      <c r="B318" t="s">
        <v>818</v>
      </c>
      <c r="C318" t="s">
        <v>668</v>
      </c>
      <c r="D318" t="s">
        <v>669</v>
      </c>
      <c r="E318" s="12" t="str">
        <f t="shared" si="4"/>
        <v>Centro esquerda</v>
      </c>
    </row>
    <row r="319" spans="1:5" x14ac:dyDescent="0.3">
      <c r="A319" t="s">
        <v>817</v>
      </c>
      <c r="B319" t="s">
        <v>818</v>
      </c>
      <c r="C319" t="s">
        <v>24</v>
      </c>
      <c r="D319" t="s">
        <v>25</v>
      </c>
      <c r="E319" s="12" t="str">
        <f t="shared" si="4"/>
        <v>Centro esquerda</v>
      </c>
    </row>
    <row r="320" spans="1:5" x14ac:dyDescent="0.3">
      <c r="A320" t="s">
        <v>817</v>
      </c>
      <c r="B320" t="s">
        <v>818</v>
      </c>
      <c r="C320" t="s">
        <v>718</v>
      </c>
      <c r="D320" t="s">
        <v>719</v>
      </c>
      <c r="E320" s="12" t="str">
        <f t="shared" si="4"/>
        <v>Centro esquerda</v>
      </c>
    </row>
    <row r="321" spans="1:5" x14ac:dyDescent="0.3">
      <c r="A321" t="s">
        <v>817</v>
      </c>
      <c r="B321" t="s">
        <v>818</v>
      </c>
      <c r="C321" t="s">
        <v>233</v>
      </c>
      <c r="D321" t="s">
        <v>234</v>
      </c>
      <c r="E321" s="12" t="str">
        <f t="shared" si="4"/>
        <v>Centro esquerda</v>
      </c>
    </row>
    <row r="322" spans="1:5" x14ac:dyDescent="0.3">
      <c r="A322" t="s">
        <v>817</v>
      </c>
      <c r="B322" t="s">
        <v>818</v>
      </c>
      <c r="C322" t="s">
        <v>34</v>
      </c>
      <c r="D322" t="s">
        <v>35</v>
      </c>
      <c r="E322" s="12" t="str">
        <f t="shared" si="4"/>
        <v>Centro esquerda</v>
      </c>
    </row>
    <row r="323" spans="1:5" x14ac:dyDescent="0.3">
      <c r="A323" t="s">
        <v>817</v>
      </c>
      <c r="B323" t="s">
        <v>818</v>
      </c>
      <c r="C323" t="s">
        <v>68</v>
      </c>
      <c r="D323" t="s">
        <v>69</v>
      </c>
      <c r="E323" s="12" t="str">
        <f t="shared" ref="E323:E386" si="5">IF(INDEX(K:K,MATCH(A323,I:I,0))&lt;&gt;0,INDEX(K:K,MATCH(A323,I:I,0)),"")</f>
        <v>Centro esquerda</v>
      </c>
    </row>
    <row r="324" spans="1:5" x14ac:dyDescent="0.3">
      <c r="A324" t="s">
        <v>817</v>
      </c>
      <c r="B324" t="s">
        <v>818</v>
      </c>
      <c r="C324" t="s">
        <v>807</v>
      </c>
      <c r="D324" t="s">
        <v>808</v>
      </c>
      <c r="E324" s="12" t="str">
        <f t="shared" si="5"/>
        <v>Centro esquerda</v>
      </c>
    </row>
    <row r="325" spans="1:5" x14ac:dyDescent="0.3">
      <c r="A325" t="s">
        <v>817</v>
      </c>
      <c r="B325" t="s">
        <v>818</v>
      </c>
      <c r="C325" t="s">
        <v>226</v>
      </c>
      <c r="D325" t="s">
        <v>227</v>
      </c>
      <c r="E325" s="12" t="str">
        <f t="shared" si="5"/>
        <v>Centro esquerda</v>
      </c>
    </row>
    <row r="326" spans="1:5" x14ac:dyDescent="0.3">
      <c r="A326" t="s">
        <v>817</v>
      </c>
      <c r="B326" t="s">
        <v>818</v>
      </c>
      <c r="C326" t="s">
        <v>760</v>
      </c>
      <c r="D326" t="s">
        <v>761</v>
      </c>
      <c r="E326" s="12" t="str">
        <f t="shared" si="5"/>
        <v>Centro esquerda</v>
      </c>
    </row>
    <row r="327" spans="1:5" x14ac:dyDescent="0.3">
      <c r="A327" t="s">
        <v>817</v>
      </c>
      <c r="B327" t="s">
        <v>818</v>
      </c>
      <c r="C327" t="s">
        <v>819</v>
      </c>
      <c r="D327" t="s">
        <v>820</v>
      </c>
      <c r="E327" s="12" t="str">
        <f t="shared" si="5"/>
        <v>Centro esquerda</v>
      </c>
    </row>
    <row r="328" spans="1:5" x14ac:dyDescent="0.3">
      <c r="A328" t="s">
        <v>817</v>
      </c>
      <c r="B328" t="s">
        <v>818</v>
      </c>
      <c r="C328" t="s">
        <v>78</v>
      </c>
      <c r="D328" t="s">
        <v>79</v>
      </c>
      <c r="E328" s="12" t="str">
        <f t="shared" si="5"/>
        <v>Centro esquerda</v>
      </c>
    </row>
    <row r="329" spans="1:5" x14ac:dyDescent="0.3">
      <c r="A329" t="s">
        <v>817</v>
      </c>
      <c r="B329" t="s">
        <v>818</v>
      </c>
      <c r="C329" t="s">
        <v>267</v>
      </c>
      <c r="D329" t="s">
        <v>227</v>
      </c>
      <c r="E329" s="12" t="str">
        <f t="shared" si="5"/>
        <v>Centro esquerda</v>
      </c>
    </row>
    <row r="330" spans="1:5" x14ac:dyDescent="0.3">
      <c r="A330" t="s">
        <v>817</v>
      </c>
      <c r="B330" t="s">
        <v>818</v>
      </c>
      <c r="C330" t="s">
        <v>298</v>
      </c>
      <c r="D330" t="s">
        <v>299</v>
      </c>
      <c r="E330" s="12" t="str">
        <f t="shared" si="5"/>
        <v>Centro esquerda</v>
      </c>
    </row>
    <row r="331" spans="1:5" x14ac:dyDescent="0.3">
      <c r="A331" t="s">
        <v>817</v>
      </c>
      <c r="B331" t="s">
        <v>818</v>
      </c>
      <c r="C331" t="s">
        <v>766</v>
      </c>
      <c r="D331" t="s">
        <v>767</v>
      </c>
      <c r="E331" s="12" t="str">
        <f t="shared" si="5"/>
        <v>Centro esquerda</v>
      </c>
    </row>
    <row r="332" spans="1:5" x14ac:dyDescent="0.3">
      <c r="A332" t="s">
        <v>817</v>
      </c>
      <c r="B332" t="s">
        <v>818</v>
      </c>
      <c r="C332" t="s">
        <v>414</v>
      </c>
      <c r="D332" t="s">
        <v>415</v>
      </c>
      <c r="E332" s="12" t="str">
        <f t="shared" si="5"/>
        <v>Centro esquerda</v>
      </c>
    </row>
    <row r="333" spans="1:5" x14ac:dyDescent="0.3">
      <c r="A333" t="s">
        <v>817</v>
      </c>
      <c r="B333" t="s">
        <v>818</v>
      </c>
      <c r="C333" t="s">
        <v>351</v>
      </c>
      <c r="D333" t="s">
        <v>352</v>
      </c>
      <c r="E333" s="12" t="str">
        <f t="shared" si="5"/>
        <v>Centro esquerda</v>
      </c>
    </row>
    <row r="334" spans="1:5" x14ac:dyDescent="0.3">
      <c r="A334" t="s">
        <v>817</v>
      </c>
      <c r="B334" t="s">
        <v>818</v>
      </c>
      <c r="C334" t="s">
        <v>721</v>
      </c>
      <c r="D334" t="s">
        <v>722</v>
      </c>
      <c r="E334" s="12" t="str">
        <f t="shared" si="5"/>
        <v>Centro esquerda</v>
      </c>
    </row>
    <row r="335" spans="1:5" x14ac:dyDescent="0.3">
      <c r="A335" t="s">
        <v>817</v>
      </c>
      <c r="B335" t="s">
        <v>818</v>
      </c>
      <c r="C335" t="s">
        <v>703</v>
      </c>
      <c r="D335" t="s">
        <v>704</v>
      </c>
      <c r="E335" s="12" t="str">
        <f t="shared" si="5"/>
        <v>Centro esquerda</v>
      </c>
    </row>
    <row r="336" spans="1:5" x14ac:dyDescent="0.3">
      <c r="A336" t="s">
        <v>817</v>
      </c>
      <c r="B336" t="s">
        <v>818</v>
      </c>
      <c r="C336" t="s">
        <v>821</v>
      </c>
      <c r="D336" t="s">
        <v>822</v>
      </c>
      <c r="E336" s="12" t="str">
        <f t="shared" si="5"/>
        <v>Centro esquerda</v>
      </c>
    </row>
    <row r="337" spans="1:5" x14ac:dyDescent="0.3">
      <c r="A337" t="s">
        <v>817</v>
      </c>
      <c r="B337" t="s">
        <v>818</v>
      </c>
      <c r="C337" t="s">
        <v>674</v>
      </c>
      <c r="D337" t="s">
        <v>675</v>
      </c>
      <c r="E337" s="12" t="str">
        <f t="shared" si="5"/>
        <v>Centro esquerda</v>
      </c>
    </row>
    <row r="338" spans="1:5" x14ac:dyDescent="0.3">
      <c r="A338" t="s">
        <v>817</v>
      </c>
      <c r="B338" t="s">
        <v>818</v>
      </c>
      <c r="C338" t="s">
        <v>365</v>
      </c>
      <c r="D338" t="s">
        <v>366</v>
      </c>
      <c r="E338" s="12" t="str">
        <f t="shared" si="5"/>
        <v>Centro esquerda</v>
      </c>
    </row>
    <row r="339" spans="1:5" x14ac:dyDescent="0.3">
      <c r="A339" t="s">
        <v>817</v>
      </c>
      <c r="B339" t="s">
        <v>818</v>
      </c>
      <c r="C339" t="s">
        <v>623</v>
      </c>
      <c r="D339" t="s">
        <v>624</v>
      </c>
      <c r="E339" s="12" t="str">
        <f t="shared" si="5"/>
        <v>Centro esquerda</v>
      </c>
    </row>
    <row r="340" spans="1:5" x14ac:dyDescent="0.3">
      <c r="A340" t="s">
        <v>817</v>
      </c>
      <c r="B340" t="s">
        <v>818</v>
      </c>
      <c r="C340" t="s">
        <v>823</v>
      </c>
      <c r="D340" t="s">
        <v>824</v>
      </c>
      <c r="E340" s="12" t="str">
        <f t="shared" si="5"/>
        <v>Centro esquerda</v>
      </c>
    </row>
    <row r="341" spans="1:5" x14ac:dyDescent="0.3">
      <c r="A341" t="s">
        <v>817</v>
      </c>
      <c r="B341" t="s">
        <v>818</v>
      </c>
      <c r="C341" t="s">
        <v>720</v>
      </c>
      <c r="D341" t="s">
        <v>234</v>
      </c>
      <c r="E341" s="12" t="str">
        <f t="shared" si="5"/>
        <v>Centro esquerda</v>
      </c>
    </row>
    <row r="342" spans="1:5" x14ac:dyDescent="0.3">
      <c r="A342" t="s">
        <v>817</v>
      </c>
      <c r="B342" t="s">
        <v>818</v>
      </c>
      <c r="C342" t="s">
        <v>749</v>
      </c>
      <c r="D342" t="s">
        <v>750</v>
      </c>
      <c r="E342" s="12" t="str">
        <f t="shared" si="5"/>
        <v>Centro esquerda</v>
      </c>
    </row>
    <row r="343" spans="1:5" x14ac:dyDescent="0.3">
      <c r="A343" t="s">
        <v>817</v>
      </c>
      <c r="B343" t="s">
        <v>818</v>
      </c>
      <c r="C343" t="s">
        <v>676</v>
      </c>
      <c r="D343" t="s">
        <v>677</v>
      </c>
      <c r="E343" s="12" t="str">
        <f t="shared" si="5"/>
        <v>Centro esquerda</v>
      </c>
    </row>
    <row r="344" spans="1:5" x14ac:dyDescent="0.3">
      <c r="A344" t="s">
        <v>817</v>
      </c>
      <c r="B344" t="s">
        <v>818</v>
      </c>
      <c r="C344" t="s">
        <v>204</v>
      </c>
      <c r="D344" t="s">
        <v>205</v>
      </c>
      <c r="E344" s="12" t="str">
        <f t="shared" si="5"/>
        <v>Centro esquerda</v>
      </c>
    </row>
    <row r="345" spans="1:5" x14ac:dyDescent="0.3">
      <c r="A345" t="s">
        <v>817</v>
      </c>
      <c r="B345" t="s">
        <v>818</v>
      </c>
      <c r="C345" t="s">
        <v>525</v>
      </c>
      <c r="D345" t="s">
        <v>526</v>
      </c>
      <c r="E345" s="12" t="str">
        <f t="shared" si="5"/>
        <v>Centro esquerda</v>
      </c>
    </row>
    <row r="346" spans="1:5" x14ac:dyDescent="0.3">
      <c r="A346" t="s">
        <v>817</v>
      </c>
      <c r="B346" t="s">
        <v>818</v>
      </c>
      <c r="C346" t="s">
        <v>182</v>
      </c>
      <c r="D346" t="s">
        <v>183</v>
      </c>
      <c r="E346" s="12" t="str">
        <f t="shared" si="5"/>
        <v>Centro esquerda</v>
      </c>
    </row>
    <row r="347" spans="1:5" x14ac:dyDescent="0.3">
      <c r="A347" t="s">
        <v>817</v>
      </c>
      <c r="B347" t="s">
        <v>818</v>
      </c>
      <c r="C347" t="s">
        <v>825</v>
      </c>
      <c r="D347" t="s">
        <v>817</v>
      </c>
      <c r="E347" s="12" t="str">
        <f t="shared" si="5"/>
        <v>Centro esquerda</v>
      </c>
    </row>
    <row r="348" spans="1:5" x14ac:dyDescent="0.3">
      <c r="A348" t="s">
        <v>817</v>
      </c>
      <c r="B348" t="s">
        <v>818</v>
      </c>
      <c r="C348" t="s">
        <v>826</v>
      </c>
      <c r="D348" t="s">
        <v>59</v>
      </c>
      <c r="E348" s="12" t="str">
        <f t="shared" si="5"/>
        <v>Centro esquerda</v>
      </c>
    </row>
    <row r="349" spans="1:5" x14ac:dyDescent="0.3">
      <c r="A349" t="s">
        <v>817</v>
      </c>
      <c r="B349" t="s">
        <v>818</v>
      </c>
      <c r="C349" t="s">
        <v>74</v>
      </c>
      <c r="D349" t="s">
        <v>75</v>
      </c>
      <c r="E349" s="12" t="str">
        <f t="shared" si="5"/>
        <v>Centro esquerda</v>
      </c>
    </row>
    <row r="350" spans="1:5" x14ac:dyDescent="0.3">
      <c r="A350" t="s">
        <v>817</v>
      </c>
      <c r="B350" t="s">
        <v>818</v>
      </c>
      <c r="C350" t="s">
        <v>768</v>
      </c>
      <c r="D350" t="s">
        <v>769</v>
      </c>
      <c r="E350" s="12" t="str">
        <f t="shared" si="5"/>
        <v>Centro esquerda</v>
      </c>
    </row>
    <row r="351" spans="1:5" x14ac:dyDescent="0.3">
      <c r="A351" t="s">
        <v>817</v>
      </c>
      <c r="B351" t="s">
        <v>818</v>
      </c>
      <c r="C351" t="s">
        <v>46</v>
      </c>
      <c r="D351" t="s">
        <v>47</v>
      </c>
      <c r="E351" s="12" t="str">
        <f t="shared" si="5"/>
        <v>Centro esquerda</v>
      </c>
    </row>
    <row r="352" spans="1:5" x14ac:dyDescent="0.3">
      <c r="A352" t="s">
        <v>817</v>
      </c>
      <c r="B352" t="s">
        <v>818</v>
      </c>
      <c r="C352" t="s">
        <v>448</v>
      </c>
      <c r="D352" t="s">
        <v>449</v>
      </c>
      <c r="E352" s="12" t="str">
        <f t="shared" si="5"/>
        <v>Centro esquerda</v>
      </c>
    </row>
    <row r="353" spans="1:5" x14ac:dyDescent="0.3">
      <c r="A353" t="s">
        <v>817</v>
      </c>
      <c r="B353" t="s">
        <v>818</v>
      </c>
      <c r="C353" t="s">
        <v>827</v>
      </c>
      <c r="D353" t="s">
        <v>828</v>
      </c>
      <c r="E353" s="12" t="str">
        <f t="shared" si="5"/>
        <v>Centro esquerda</v>
      </c>
    </row>
    <row r="354" spans="1:5" x14ac:dyDescent="0.3">
      <c r="A354" t="s">
        <v>817</v>
      </c>
      <c r="B354" t="s">
        <v>818</v>
      </c>
      <c r="C354" t="s">
        <v>450</v>
      </c>
      <c r="D354" t="s">
        <v>451</v>
      </c>
      <c r="E354" s="12" t="str">
        <f t="shared" si="5"/>
        <v>Centro esquerda</v>
      </c>
    </row>
    <row r="355" spans="1:5" x14ac:dyDescent="0.3">
      <c r="A355" t="s">
        <v>817</v>
      </c>
      <c r="B355" t="s">
        <v>818</v>
      </c>
      <c r="C355" t="s">
        <v>230</v>
      </c>
      <c r="D355" t="s">
        <v>227</v>
      </c>
      <c r="E355" s="12" t="str">
        <f t="shared" si="5"/>
        <v>Centro esquerda</v>
      </c>
    </row>
    <row r="356" spans="1:5" x14ac:dyDescent="0.3">
      <c r="A356" t="s">
        <v>817</v>
      </c>
      <c r="B356" t="s">
        <v>818</v>
      </c>
      <c r="C356" t="s">
        <v>58</v>
      </c>
      <c r="D356" t="s">
        <v>59</v>
      </c>
      <c r="E356" s="12" t="str">
        <f t="shared" si="5"/>
        <v>Centro esquerda</v>
      </c>
    </row>
    <row r="357" spans="1:5" x14ac:dyDescent="0.3">
      <c r="A357" t="s">
        <v>817</v>
      </c>
      <c r="B357" t="s">
        <v>818</v>
      </c>
      <c r="C357" t="s">
        <v>355</v>
      </c>
      <c r="D357" t="s">
        <v>356</v>
      </c>
      <c r="E357" s="12" t="str">
        <f t="shared" si="5"/>
        <v>Centro esquerda</v>
      </c>
    </row>
    <row r="358" spans="1:5" x14ac:dyDescent="0.3">
      <c r="A358" t="s">
        <v>817</v>
      </c>
      <c r="B358" t="s">
        <v>818</v>
      </c>
      <c r="C358" t="s">
        <v>243</v>
      </c>
      <c r="D358" t="s">
        <v>244</v>
      </c>
      <c r="E358" s="12" t="str">
        <f t="shared" si="5"/>
        <v>Centro esquerda</v>
      </c>
    </row>
    <row r="359" spans="1:5" x14ac:dyDescent="0.3">
      <c r="A359" t="s">
        <v>817</v>
      </c>
      <c r="B359" t="s">
        <v>818</v>
      </c>
      <c r="C359" t="s">
        <v>829</v>
      </c>
      <c r="D359" t="s">
        <v>830</v>
      </c>
      <c r="E359" s="12" t="str">
        <f t="shared" si="5"/>
        <v>Centro esquerda</v>
      </c>
    </row>
    <row r="360" spans="1:5" x14ac:dyDescent="0.3">
      <c r="A360" t="s">
        <v>817</v>
      </c>
      <c r="B360" t="s">
        <v>818</v>
      </c>
      <c r="C360" t="s">
        <v>468</v>
      </c>
      <c r="D360" t="s">
        <v>469</v>
      </c>
      <c r="E360" s="12" t="str">
        <f t="shared" si="5"/>
        <v>Centro esquerda</v>
      </c>
    </row>
    <row r="361" spans="1:5" x14ac:dyDescent="0.3">
      <c r="A361" t="s">
        <v>817</v>
      </c>
      <c r="B361" t="s">
        <v>818</v>
      </c>
      <c r="C361" t="s">
        <v>470</v>
      </c>
      <c r="D361" t="s">
        <v>471</v>
      </c>
      <c r="E361" s="12" t="str">
        <f t="shared" si="5"/>
        <v>Centro esquerda</v>
      </c>
    </row>
    <row r="362" spans="1:5" x14ac:dyDescent="0.3">
      <c r="A362" t="s">
        <v>817</v>
      </c>
      <c r="B362" t="s">
        <v>818</v>
      </c>
      <c r="C362" t="s">
        <v>274</v>
      </c>
      <c r="D362" t="s">
        <v>275</v>
      </c>
      <c r="E362" s="12" t="str">
        <f t="shared" si="5"/>
        <v>Centro esquerda</v>
      </c>
    </row>
    <row r="363" spans="1:5" x14ac:dyDescent="0.3">
      <c r="A363" t="s">
        <v>817</v>
      </c>
      <c r="B363" t="s">
        <v>818</v>
      </c>
      <c r="C363" t="s">
        <v>774</v>
      </c>
      <c r="D363" t="s">
        <v>775</v>
      </c>
      <c r="E363" s="12" t="str">
        <f t="shared" si="5"/>
        <v>Centro esquerda</v>
      </c>
    </row>
    <row r="364" spans="1:5" x14ac:dyDescent="0.3">
      <c r="A364" t="s">
        <v>817</v>
      </c>
      <c r="B364" t="s">
        <v>818</v>
      </c>
      <c r="C364" t="s">
        <v>251</v>
      </c>
      <c r="D364" t="s">
        <v>252</v>
      </c>
      <c r="E364" s="12" t="str">
        <f t="shared" si="5"/>
        <v>Centro esquerda</v>
      </c>
    </row>
    <row r="365" spans="1:5" x14ac:dyDescent="0.3">
      <c r="A365" t="s">
        <v>817</v>
      </c>
      <c r="B365" t="s">
        <v>818</v>
      </c>
      <c r="C365" t="s">
        <v>619</v>
      </c>
      <c r="D365" t="s">
        <v>620</v>
      </c>
      <c r="E365" s="12" t="str">
        <f t="shared" si="5"/>
        <v>Centro esquerda</v>
      </c>
    </row>
    <row r="366" spans="1:5" x14ac:dyDescent="0.3">
      <c r="A366" t="s">
        <v>817</v>
      </c>
      <c r="B366" t="s">
        <v>818</v>
      </c>
      <c r="C366" t="s">
        <v>621</v>
      </c>
      <c r="D366" t="s">
        <v>622</v>
      </c>
      <c r="E366" s="12" t="str">
        <f t="shared" si="5"/>
        <v>Centro esquerda</v>
      </c>
    </row>
    <row r="367" spans="1:5" x14ac:dyDescent="0.3">
      <c r="A367" t="s">
        <v>817</v>
      </c>
      <c r="B367" t="s">
        <v>818</v>
      </c>
      <c r="C367" t="s">
        <v>90</v>
      </c>
      <c r="D367" t="s">
        <v>91</v>
      </c>
      <c r="E367" s="12" t="str">
        <f t="shared" si="5"/>
        <v>Centro esquerda</v>
      </c>
    </row>
    <row r="368" spans="1:5" x14ac:dyDescent="0.3">
      <c r="A368" t="s">
        <v>817</v>
      </c>
      <c r="B368" t="s">
        <v>818</v>
      </c>
      <c r="C368" t="s">
        <v>100</v>
      </c>
      <c r="D368" t="s">
        <v>817</v>
      </c>
      <c r="E368" s="12" t="str">
        <f t="shared" si="5"/>
        <v>Centro esquerda</v>
      </c>
    </row>
    <row r="369" spans="1:5" x14ac:dyDescent="0.3">
      <c r="A369" t="s">
        <v>787</v>
      </c>
      <c r="B369" t="s">
        <v>788</v>
      </c>
      <c r="C369" t="s">
        <v>363</v>
      </c>
      <c r="D369" t="s">
        <v>364</v>
      </c>
      <c r="E369" s="12" t="str">
        <f t="shared" si="5"/>
        <v>Centro direita</v>
      </c>
    </row>
    <row r="370" spans="1:5" x14ac:dyDescent="0.3">
      <c r="A370" t="s">
        <v>787</v>
      </c>
      <c r="B370" t="s">
        <v>788</v>
      </c>
      <c r="C370" t="s">
        <v>789</v>
      </c>
      <c r="D370" t="s">
        <v>790</v>
      </c>
      <c r="E370" s="12" t="str">
        <f t="shared" si="5"/>
        <v>Centro direita</v>
      </c>
    </row>
    <row r="371" spans="1:5" x14ac:dyDescent="0.3">
      <c r="A371" t="s">
        <v>787</v>
      </c>
      <c r="B371" t="s">
        <v>788</v>
      </c>
      <c r="C371" t="s">
        <v>500</v>
      </c>
      <c r="D371" t="s">
        <v>501</v>
      </c>
      <c r="E371" s="12" t="str">
        <f t="shared" si="5"/>
        <v>Centro direita</v>
      </c>
    </row>
    <row r="372" spans="1:5" x14ac:dyDescent="0.3">
      <c r="A372" t="s">
        <v>787</v>
      </c>
      <c r="B372" t="s">
        <v>788</v>
      </c>
      <c r="C372" t="s">
        <v>12</v>
      </c>
      <c r="D372" t="s">
        <v>13</v>
      </c>
      <c r="E372" s="12" t="str">
        <f t="shared" si="5"/>
        <v>Centro direita</v>
      </c>
    </row>
    <row r="373" spans="1:5" x14ac:dyDescent="0.3">
      <c r="A373" t="s">
        <v>787</v>
      </c>
      <c r="B373" t="s">
        <v>788</v>
      </c>
      <c r="C373" t="s">
        <v>14</v>
      </c>
      <c r="D373" t="s">
        <v>15</v>
      </c>
      <c r="E373" s="12" t="str">
        <f t="shared" si="5"/>
        <v>Centro direita</v>
      </c>
    </row>
    <row r="374" spans="1:5" x14ac:dyDescent="0.3">
      <c r="A374" t="s">
        <v>787</v>
      </c>
      <c r="B374" t="s">
        <v>788</v>
      </c>
      <c r="C374" t="s">
        <v>791</v>
      </c>
      <c r="D374" t="s">
        <v>792</v>
      </c>
      <c r="E374" s="12" t="str">
        <f t="shared" si="5"/>
        <v>Centro direita</v>
      </c>
    </row>
    <row r="375" spans="1:5" x14ac:dyDescent="0.3">
      <c r="A375" t="s">
        <v>787</v>
      </c>
      <c r="B375" t="s">
        <v>788</v>
      </c>
      <c r="C375" t="s">
        <v>392</v>
      </c>
      <c r="D375" t="s">
        <v>393</v>
      </c>
      <c r="E375" s="12" t="str">
        <f t="shared" si="5"/>
        <v>Centro direita</v>
      </c>
    </row>
    <row r="376" spans="1:5" x14ac:dyDescent="0.3">
      <c r="A376" t="s">
        <v>787</v>
      </c>
      <c r="B376" t="s">
        <v>788</v>
      </c>
      <c r="C376" t="s">
        <v>404</v>
      </c>
      <c r="D376" t="s">
        <v>405</v>
      </c>
      <c r="E376" s="12" t="str">
        <f t="shared" si="5"/>
        <v>Centro direita</v>
      </c>
    </row>
    <row r="377" spans="1:5" x14ac:dyDescent="0.3">
      <c r="A377" t="s">
        <v>787</v>
      </c>
      <c r="B377" t="s">
        <v>788</v>
      </c>
      <c r="C377" t="s">
        <v>406</v>
      </c>
      <c r="D377" t="s">
        <v>407</v>
      </c>
      <c r="E377" s="12" t="str">
        <f t="shared" si="5"/>
        <v>Centro direita</v>
      </c>
    </row>
    <row r="378" spans="1:5" x14ac:dyDescent="0.3">
      <c r="A378" t="s">
        <v>787</v>
      </c>
      <c r="B378" t="s">
        <v>788</v>
      </c>
      <c r="C378" t="s">
        <v>762</v>
      </c>
      <c r="D378" t="s">
        <v>763</v>
      </c>
      <c r="E378" s="12" t="str">
        <f t="shared" si="5"/>
        <v>Centro direita</v>
      </c>
    </row>
    <row r="379" spans="1:5" x14ac:dyDescent="0.3">
      <c r="A379" t="s">
        <v>787</v>
      </c>
      <c r="B379" t="s">
        <v>788</v>
      </c>
      <c r="C379" t="s">
        <v>24</v>
      </c>
      <c r="D379" t="s">
        <v>25</v>
      </c>
      <c r="E379" s="12" t="str">
        <f t="shared" si="5"/>
        <v>Centro direita</v>
      </c>
    </row>
    <row r="380" spans="1:5" x14ac:dyDescent="0.3">
      <c r="A380" t="s">
        <v>787</v>
      </c>
      <c r="B380" t="s">
        <v>788</v>
      </c>
      <c r="C380" t="s">
        <v>446</v>
      </c>
      <c r="D380" t="s">
        <v>447</v>
      </c>
      <c r="E380" s="12" t="str">
        <f t="shared" si="5"/>
        <v>Centro direita</v>
      </c>
    </row>
    <row r="381" spans="1:5" x14ac:dyDescent="0.3">
      <c r="A381" t="s">
        <v>787</v>
      </c>
      <c r="B381" t="s">
        <v>788</v>
      </c>
      <c r="C381" t="s">
        <v>793</v>
      </c>
      <c r="D381" t="s">
        <v>792</v>
      </c>
      <c r="E381" s="12" t="str">
        <f t="shared" si="5"/>
        <v>Centro direita</v>
      </c>
    </row>
    <row r="382" spans="1:5" x14ac:dyDescent="0.3">
      <c r="A382" t="s">
        <v>787</v>
      </c>
      <c r="B382" t="s">
        <v>788</v>
      </c>
      <c r="C382" t="s">
        <v>224</v>
      </c>
      <c r="D382" t="s">
        <v>225</v>
      </c>
      <c r="E382" s="12" t="str">
        <f t="shared" si="5"/>
        <v>Centro direita</v>
      </c>
    </row>
    <row r="383" spans="1:5" x14ac:dyDescent="0.3">
      <c r="A383" t="s">
        <v>787</v>
      </c>
      <c r="B383" t="s">
        <v>788</v>
      </c>
      <c r="C383" t="s">
        <v>794</v>
      </c>
      <c r="D383" t="s">
        <v>795</v>
      </c>
      <c r="E383" s="12" t="str">
        <f t="shared" si="5"/>
        <v>Centro direita</v>
      </c>
    </row>
    <row r="384" spans="1:5" x14ac:dyDescent="0.3">
      <c r="A384" t="s">
        <v>787</v>
      </c>
      <c r="B384" t="s">
        <v>788</v>
      </c>
      <c r="C384" t="s">
        <v>568</v>
      </c>
      <c r="D384" t="s">
        <v>569</v>
      </c>
      <c r="E384" s="12" t="str">
        <f t="shared" si="5"/>
        <v>Centro direita</v>
      </c>
    </row>
    <row r="385" spans="1:5" x14ac:dyDescent="0.3">
      <c r="A385" t="s">
        <v>787</v>
      </c>
      <c r="B385" t="s">
        <v>788</v>
      </c>
      <c r="C385" t="s">
        <v>733</v>
      </c>
      <c r="D385" t="s">
        <v>734</v>
      </c>
      <c r="E385" s="12" t="str">
        <f t="shared" si="5"/>
        <v>Centro direita</v>
      </c>
    </row>
    <row r="386" spans="1:5" x14ac:dyDescent="0.3">
      <c r="A386" t="s">
        <v>787</v>
      </c>
      <c r="B386" t="s">
        <v>788</v>
      </c>
      <c r="C386" t="s">
        <v>731</v>
      </c>
      <c r="D386" t="s">
        <v>732</v>
      </c>
      <c r="E386" s="12" t="str">
        <f t="shared" si="5"/>
        <v>Centro direita</v>
      </c>
    </row>
    <row r="387" spans="1:5" x14ac:dyDescent="0.3">
      <c r="A387" t="s">
        <v>787</v>
      </c>
      <c r="B387" t="s">
        <v>788</v>
      </c>
      <c r="C387" t="s">
        <v>300</v>
      </c>
      <c r="D387" t="s">
        <v>301</v>
      </c>
      <c r="E387" s="12" t="str">
        <f t="shared" ref="E387:E450" si="6">IF(INDEX(K:K,MATCH(A387,I:I,0))&lt;&gt;0,INDEX(K:K,MATCH(A387,I:I,0)),"")</f>
        <v>Centro direita</v>
      </c>
    </row>
    <row r="388" spans="1:5" x14ac:dyDescent="0.3">
      <c r="A388" t="s">
        <v>787</v>
      </c>
      <c r="B388" t="s">
        <v>788</v>
      </c>
      <c r="C388" t="s">
        <v>159</v>
      </c>
      <c r="D388" t="s">
        <v>160</v>
      </c>
      <c r="E388" s="12" t="str">
        <f t="shared" si="6"/>
        <v>Centro direita</v>
      </c>
    </row>
    <row r="389" spans="1:5" x14ac:dyDescent="0.3">
      <c r="A389" t="s">
        <v>787</v>
      </c>
      <c r="B389" t="s">
        <v>788</v>
      </c>
      <c r="C389" t="s">
        <v>239</v>
      </c>
      <c r="D389" t="s">
        <v>240</v>
      </c>
      <c r="E389" s="12" t="str">
        <f t="shared" si="6"/>
        <v>Centro direita</v>
      </c>
    </row>
    <row r="390" spans="1:5" x14ac:dyDescent="0.3">
      <c r="A390" t="s">
        <v>787</v>
      </c>
      <c r="B390" t="s">
        <v>788</v>
      </c>
      <c r="C390" t="s">
        <v>265</v>
      </c>
      <c r="D390" t="s">
        <v>266</v>
      </c>
      <c r="E390" s="12" t="str">
        <f t="shared" si="6"/>
        <v>Centro direita</v>
      </c>
    </row>
    <row r="391" spans="1:5" x14ac:dyDescent="0.3">
      <c r="A391" t="s">
        <v>787</v>
      </c>
      <c r="B391" t="s">
        <v>788</v>
      </c>
      <c r="C391" t="s">
        <v>263</v>
      </c>
      <c r="D391" t="s">
        <v>264</v>
      </c>
      <c r="E391" s="12" t="str">
        <f t="shared" si="6"/>
        <v>Centro direita</v>
      </c>
    </row>
    <row r="392" spans="1:5" x14ac:dyDescent="0.3">
      <c r="A392" t="s">
        <v>787</v>
      </c>
      <c r="B392" t="s">
        <v>788</v>
      </c>
      <c r="C392" t="s">
        <v>60</v>
      </c>
      <c r="D392" t="s">
        <v>61</v>
      </c>
      <c r="E392" s="12" t="str">
        <f t="shared" si="6"/>
        <v>Centro direita</v>
      </c>
    </row>
    <row r="393" spans="1:5" x14ac:dyDescent="0.3">
      <c r="A393" t="s">
        <v>787</v>
      </c>
      <c r="B393" t="s">
        <v>788</v>
      </c>
      <c r="C393" t="s">
        <v>62</v>
      </c>
      <c r="D393" t="s">
        <v>63</v>
      </c>
      <c r="E393" s="12" t="str">
        <f t="shared" si="6"/>
        <v>Centro direita</v>
      </c>
    </row>
    <row r="394" spans="1:5" x14ac:dyDescent="0.3">
      <c r="A394" t="s">
        <v>787</v>
      </c>
      <c r="B394" t="s">
        <v>788</v>
      </c>
      <c r="C394" t="s">
        <v>631</v>
      </c>
      <c r="D394" t="s">
        <v>632</v>
      </c>
      <c r="E394" s="12" t="str">
        <f t="shared" si="6"/>
        <v>Centro direita</v>
      </c>
    </row>
    <row r="395" spans="1:5" x14ac:dyDescent="0.3">
      <c r="A395" t="s">
        <v>787</v>
      </c>
      <c r="B395" t="s">
        <v>788</v>
      </c>
      <c r="C395" t="s">
        <v>655</v>
      </c>
      <c r="D395" t="s">
        <v>656</v>
      </c>
      <c r="E395" s="12" t="str">
        <f t="shared" si="6"/>
        <v>Centro direita</v>
      </c>
    </row>
    <row r="396" spans="1:5" x14ac:dyDescent="0.3">
      <c r="A396" t="s">
        <v>787</v>
      </c>
      <c r="B396" t="s">
        <v>788</v>
      </c>
      <c r="C396" t="s">
        <v>707</v>
      </c>
      <c r="D396" t="s">
        <v>708</v>
      </c>
      <c r="E396" s="12" t="str">
        <f t="shared" si="6"/>
        <v>Centro direita</v>
      </c>
    </row>
    <row r="397" spans="1:5" x14ac:dyDescent="0.3">
      <c r="A397" t="s">
        <v>787</v>
      </c>
      <c r="B397" t="s">
        <v>788</v>
      </c>
      <c r="C397" t="s">
        <v>70</v>
      </c>
      <c r="D397" t="s">
        <v>71</v>
      </c>
      <c r="E397" s="12" t="str">
        <f t="shared" si="6"/>
        <v>Centro direita</v>
      </c>
    </row>
    <row r="398" spans="1:5" x14ac:dyDescent="0.3">
      <c r="A398" t="s">
        <v>787</v>
      </c>
      <c r="B398" t="s">
        <v>788</v>
      </c>
      <c r="C398" t="s">
        <v>688</v>
      </c>
      <c r="D398" t="s">
        <v>689</v>
      </c>
      <c r="E398" s="12" t="str">
        <f t="shared" si="6"/>
        <v>Centro direita</v>
      </c>
    </row>
    <row r="399" spans="1:5" x14ac:dyDescent="0.3">
      <c r="A399" t="s">
        <v>787</v>
      </c>
      <c r="B399" t="s">
        <v>788</v>
      </c>
      <c r="C399" t="s">
        <v>80</v>
      </c>
      <c r="D399" t="s">
        <v>81</v>
      </c>
      <c r="E399" s="12" t="str">
        <f t="shared" si="6"/>
        <v>Centro direita</v>
      </c>
    </row>
    <row r="400" spans="1:5" x14ac:dyDescent="0.3">
      <c r="A400" t="s">
        <v>787</v>
      </c>
      <c r="B400" t="s">
        <v>788</v>
      </c>
      <c r="C400" t="s">
        <v>796</v>
      </c>
      <c r="D400" t="s">
        <v>790</v>
      </c>
      <c r="E400" s="12" t="str">
        <f t="shared" si="6"/>
        <v>Centro direita</v>
      </c>
    </row>
    <row r="401" spans="1:5" x14ac:dyDescent="0.3">
      <c r="A401" t="s">
        <v>787</v>
      </c>
      <c r="B401" t="s">
        <v>788</v>
      </c>
      <c r="C401" t="s">
        <v>247</v>
      </c>
      <c r="D401" t="s">
        <v>248</v>
      </c>
      <c r="E401" s="12" t="str">
        <f t="shared" si="6"/>
        <v>Centro direita</v>
      </c>
    </row>
    <row r="402" spans="1:5" x14ac:dyDescent="0.3">
      <c r="A402" t="s">
        <v>787</v>
      </c>
      <c r="B402" t="s">
        <v>788</v>
      </c>
      <c r="C402" t="s">
        <v>245</v>
      </c>
      <c r="D402" t="s">
        <v>246</v>
      </c>
      <c r="E402" s="12" t="str">
        <f t="shared" si="6"/>
        <v>Centro direita</v>
      </c>
    </row>
    <row r="403" spans="1:5" x14ac:dyDescent="0.3">
      <c r="A403" t="s">
        <v>787</v>
      </c>
      <c r="B403" t="s">
        <v>788</v>
      </c>
      <c r="C403" t="s">
        <v>192</v>
      </c>
      <c r="D403" t="s">
        <v>193</v>
      </c>
      <c r="E403" s="12" t="str">
        <f t="shared" si="6"/>
        <v>Centro direita</v>
      </c>
    </row>
    <row r="404" spans="1:5" x14ac:dyDescent="0.3">
      <c r="A404" t="s">
        <v>787</v>
      </c>
      <c r="B404" t="s">
        <v>788</v>
      </c>
      <c r="C404" t="s">
        <v>100</v>
      </c>
      <c r="D404" t="s">
        <v>787</v>
      </c>
      <c r="E404" s="12" t="str">
        <f t="shared" si="6"/>
        <v>Centro direita</v>
      </c>
    </row>
    <row r="405" spans="1:5" x14ac:dyDescent="0.3">
      <c r="A405" t="s">
        <v>787</v>
      </c>
      <c r="B405" t="s">
        <v>788</v>
      </c>
      <c r="C405" t="s">
        <v>781</v>
      </c>
      <c r="D405" t="s">
        <v>782</v>
      </c>
      <c r="E405" s="12" t="str">
        <f t="shared" si="6"/>
        <v>Centro direita</v>
      </c>
    </row>
    <row r="406" spans="1:5" x14ac:dyDescent="0.3">
      <c r="A406" t="s">
        <v>787</v>
      </c>
      <c r="B406" t="s">
        <v>788</v>
      </c>
      <c r="C406" t="s">
        <v>797</v>
      </c>
      <c r="D406" t="s">
        <v>798</v>
      </c>
      <c r="E406" s="12" t="str">
        <f t="shared" si="6"/>
        <v>Centro direita</v>
      </c>
    </row>
    <row r="407" spans="1:5" x14ac:dyDescent="0.3">
      <c r="A407" t="s">
        <v>787</v>
      </c>
      <c r="B407" t="s">
        <v>788</v>
      </c>
      <c r="C407" t="s">
        <v>591</v>
      </c>
      <c r="D407" t="s">
        <v>592</v>
      </c>
      <c r="E407" s="12" t="str">
        <f t="shared" si="6"/>
        <v>Centro direita</v>
      </c>
    </row>
    <row r="408" spans="1:5" x14ac:dyDescent="0.3">
      <c r="A408" t="s">
        <v>787</v>
      </c>
      <c r="B408" t="s">
        <v>788</v>
      </c>
      <c r="C408" t="s">
        <v>712</v>
      </c>
      <c r="D408" t="s">
        <v>713</v>
      </c>
      <c r="E408" s="12" t="str">
        <f t="shared" si="6"/>
        <v>Centro direita</v>
      </c>
    </row>
    <row r="409" spans="1:5" x14ac:dyDescent="0.3">
      <c r="A409" t="s">
        <v>787</v>
      </c>
      <c r="B409" t="s">
        <v>788</v>
      </c>
      <c r="C409" t="s">
        <v>436</v>
      </c>
      <c r="D409" t="s">
        <v>437</v>
      </c>
      <c r="E409" s="12" t="str">
        <f t="shared" si="6"/>
        <v>Centro direita</v>
      </c>
    </row>
    <row r="410" spans="1:5" x14ac:dyDescent="0.3">
      <c r="A410" t="s">
        <v>787</v>
      </c>
      <c r="B410" t="s">
        <v>788</v>
      </c>
      <c r="C410" t="s">
        <v>94</v>
      </c>
      <c r="D410" t="s">
        <v>95</v>
      </c>
      <c r="E410" s="12" t="str">
        <f t="shared" si="6"/>
        <v>Centro direita</v>
      </c>
    </row>
    <row r="411" spans="1:5" x14ac:dyDescent="0.3">
      <c r="A411" t="s">
        <v>787</v>
      </c>
      <c r="B411" t="s">
        <v>788</v>
      </c>
      <c r="C411" t="s">
        <v>278</v>
      </c>
      <c r="D411" t="s">
        <v>279</v>
      </c>
      <c r="E411" s="12" t="str">
        <f t="shared" si="6"/>
        <v>Centro direita</v>
      </c>
    </row>
    <row r="412" spans="1:5" x14ac:dyDescent="0.3">
      <c r="A412" t="s">
        <v>864</v>
      </c>
      <c r="B412" t="s">
        <v>865</v>
      </c>
      <c r="C412" t="s">
        <v>649</v>
      </c>
      <c r="D412" t="s">
        <v>650</v>
      </c>
      <c r="E412" s="12" t="str">
        <f t="shared" si="6"/>
        <v>Centro</v>
      </c>
    </row>
    <row r="413" spans="1:5" x14ac:dyDescent="0.3">
      <c r="A413" t="s">
        <v>864</v>
      </c>
      <c r="B413" t="s">
        <v>865</v>
      </c>
      <c r="C413" t="s">
        <v>789</v>
      </c>
      <c r="D413" t="s">
        <v>790</v>
      </c>
      <c r="E413" s="12" t="str">
        <f t="shared" si="6"/>
        <v>Centro</v>
      </c>
    </row>
    <row r="414" spans="1:5" x14ac:dyDescent="0.3">
      <c r="A414" t="s">
        <v>864</v>
      </c>
      <c r="B414" t="s">
        <v>865</v>
      </c>
      <c r="C414" t="s">
        <v>218</v>
      </c>
      <c r="D414" t="s">
        <v>219</v>
      </c>
      <c r="E414" s="12" t="str">
        <f t="shared" si="6"/>
        <v>Centro</v>
      </c>
    </row>
    <row r="415" spans="1:5" x14ac:dyDescent="0.3">
      <c r="A415" t="s">
        <v>864</v>
      </c>
      <c r="B415" t="s">
        <v>865</v>
      </c>
      <c r="C415" t="s">
        <v>502</v>
      </c>
      <c r="D415" t="s">
        <v>503</v>
      </c>
      <c r="E415" s="12" t="str">
        <f t="shared" si="6"/>
        <v>Centro</v>
      </c>
    </row>
    <row r="416" spans="1:5" x14ac:dyDescent="0.3">
      <c r="A416" t="s">
        <v>864</v>
      </c>
      <c r="B416" t="s">
        <v>865</v>
      </c>
      <c r="C416" t="s">
        <v>38</v>
      </c>
      <c r="D416" t="s">
        <v>39</v>
      </c>
      <c r="E416" s="12" t="str">
        <f t="shared" si="6"/>
        <v>Centro</v>
      </c>
    </row>
    <row r="417" spans="1:5" x14ac:dyDescent="0.3">
      <c r="A417" t="s">
        <v>864</v>
      </c>
      <c r="B417" t="s">
        <v>865</v>
      </c>
      <c r="C417" t="s">
        <v>304</v>
      </c>
      <c r="D417" t="s">
        <v>305</v>
      </c>
      <c r="E417" s="12" t="str">
        <f t="shared" si="6"/>
        <v>Centro</v>
      </c>
    </row>
    <row r="418" spans="1:5" x14ac:dyDescent="0.3">
      <c r="A418" t="s">
        <v>864</v>
      </c>
      <c r="B418" t="s">
        <v>865</v>
      </c>
      <c r="C418" t="s">
        <v>224</v>
      </c>
      <c r="D418" t="s">
        <v>225</v>
      </c>
      <c r="E418" s="12" t="str">
        <f t="shared" si="6"/>
        <v>Centro</v>
      </c>
    </row>
    <row r="419" spans="1:5" x14ac:dyDescent="0.3">
      <c r="A419" t="s">
        <v>864</v>
      </c>
      <c r="B419" t="s">
        <v>865</v>
      </c>
      <c r="C419" t="s">
        <v>340</v>
      </c>
      <c r="D419" t="s">
        <v>341</v>
      </c>
      <c r="E419" s="12" t="str">
        <f t="shared" si="6"/>
        <v>Centro</v>
      </c>
    </row>
    <row r="420" spans="1:5" x14ac:dyDescent="0.3">
      <c r="A420" t="s">
        <v>864</v>
      </c>
      <c r="B420" t="s">
        <v>865</v>
      </c>
      <c r="C420" t="s">
        <v>342</v>
      </c>
      <c r="D420" t="s">
        <v>341</v>
      </c>
      <c r="E420" s="12" t="str">
        <f t="shared" si="6"/>
        <v>Centro</v>
      </c>
    </row>
    <row r="421" spans="1:5" x14ac:dyDescent="0.3">
      <c r="A421" t="s">
        <v>864</v>
      </c>
      <c r="B421" t="s">
        <v>865</v>
      </c>
      <c r="C421" t="s">
        <v>288</v>
      </c>
      <c r="D421" t="s">
        <v>289</v>
      </c>
      <c r="E421" s="12" t="str">
        <f t="shared" si="6"/>
        <v>Centro</v>
      </c>
    </row>
    <row r="422" spans="1:5" x14ac:dyDescent="0.3">
      <c r="A422" t="s">
        <v>864</v>
      </c>
      <c r="B422" t="s">
        <v>865</v>
      </c>
      <c r="C422" t="s">
        <v>239</v>
      </c>
      <c r="D422" t="s">
        <v>452</v>
      </c>
      <c r="E422" s="12" t="str">
        <f t="shared" si="6"/>
        <v>Centro</v>
      </c>
    </row>
    <row r="423" spans="1:5" x14ac:dyDescent="0.3">
      <c r="A423" t="s">
        <v>864</v>
      </c>
      <c r="B423" t="s">
        <v>865</v>
      </c>
      <c r="C423" t="s">
        <v>463</v>
      </c>
      <c r="D423" t="s">
        <v>460</v>
      </c>
      <c r="E423" s="12" t="str">
        <f t="shared" si="6"/>
        <v>Centro</v>
      </c>
    </row>
    <row r="424" spans="1:5" x14ac:dyDescent="0.3">
      <c r="A424" t="s">
        <v>864</v>
      </c>
      <c r="B424" t="s">
        <v>865</v>
      </c>
      <c r="C424" t="s">
        <v>420</v>
      </c>
      <c r="D424" t="s">
        <v>421</v>
      </c>
      <c r="E424" s="12" t="str">
        <f t="shared" si="6"/>
        <v>Centro</v>
      </c>
    </row>
    <row r="425" spans="1:5" x14ac:dyDescent="0.3">
      <c r="A425" t="s">
        <v>864</v>
      </c>
      <c r="B425" t="s">
        <v>865</v>
      </c>
      <c r="C425" t="s">
        <v>725</v>
      </c>
      <c r="D425" t="s">
        <v>726</v>
      </c>
      <c r="E425" s="12" t="str">
        <f t="shared" si="6"/>
        <v>Centro</v>
      </c>
    </row>
    <row r="426" spans="1:5" x14ac:dyDescent="0.3">
      <c r="A426" t="s">
        <v>864</v>
      </c>
      <c r="B426" t="s">
        <v>865</v>
      </c>
      <c r="C426" t="s">
        <v>709</v>
      </c>
      <c r="D426" t="s">
        <v>700</v>
      </c>
      <c r="E426" s="12" t="str">
        <f t="shared" si="6"/>
        <v>Centro</v>
      </c>
    </row>
    <row r="427" spans="1:5" x14ac:dyDescent="0.3">
      <c r="A427" t="s">
        <v>864</v>
      </c>
      <c r="B427" t="s">
        <v>865</v>
      </c>
      <c r="C427" t="s">
        <v>587</v>
      </c>
      <c r="D427" t="s">
        <v>588</v>
      </c>
      <c r="E427" s="12" t="str">
        <f t="shared" si="6"/>
        <v>Centro</v>
      </c>
    </row>
    <row r="428" spans="1:5" x14ac:dyDescent="0.3">
      <c r="A428" t="s">
        <v>864</v>
      </c>
      <c r="B428" t="s">
        <v>865</v>
      </c>
      <c r="C428" t="s">
        <v>778</v>
      </c>
      <c r="D428" t="s">
        <v>779</v>
      </c>
      <c r="E428" s="12" t="str">
        <f t="shared" si="6"/>
        <v>Centro</v>
      </c>
    </row>
    <row r="429" spans="1:5" x14ac:dyDescent="0.3">
      <c r="A429" t="s">
        <v>864</v>
      </c>
      <c r="B429" t="s">
        <v>865</v>
      </c>
      <c r="C429" t="s">
        <v>827</v>
      </c>
      <c r="D429" t="s">
        <v>828</v>
      </c>
      <c r="E429" s="12" t="str">
        <f t="shared" si="6"/>
        <v>Centro</v>
      </c>
    </row>
    <row r="430" spans="1:5" x14ac:dyDescent="0.3">
      <c r="A430" t="s">
        <v>864</v>
      </c>
      <c r="B430" t="s">
        <v>865</v>
      </c>
      <c r="C430" t="s">
        <v>426</v>
      </c>
      <c r="D430" t="s">
        <v>427</v>
      </c>
      <c r="E430" s="12" t="str">
        <f t="shared" si="6"/>
        <v>Centro</v>
      </c>
    </row>
    <row r="431" spans="1:5" x14ac:dyDescent="0.3">
      <c r="A431" t="s">
        <v>864</v>
      </c>
      <c r="B431" t="s">
        <v>865</v>
      </c>
      <c r="C431" t="s">
        <v>355</v>
      </c>
      <c r="D431" t="s">
        <v>356</v>
      </c>
      <c r="E431" s="12" t="str">
        <f t="shared" si="6"/>
        <v>Centro</v>
      </c>
    </row>
    <row r="432" spans="1:5" x14ac:dyDescent="0.3">
      <c r="A432" t="s">
        <v>864</v>
      </c>
      <c r="B432" t="s">
        <v>865</v>
      </c>
      <c r="C432" t="s">
        <v>699</v>
      </c>
      <c r="D432" t="s">
        <v>700</v>
      </c>
      <c r="E432" s="12" t="str">
        <f t="shared" si="6"/>
        <v>Centro</v>
      </c>
    </row>
    <row r="433" spans="1:5" x14ac:dyDescent="0.3">
      <c r="A433" t="s">
        <v>864</v>
      </c>
      <c r="B433" t="s">
        <v>865</v>
      </c>
      <c r="C433" t="s">
        <v>796</v>
      </c>
      <c r="D433" t="s">
        <v>790</v>
      </c>
      <c r="E433" s="12" t="str">
        <f t="shared" si="6"/>
        <v>Centro</v>
      </c>
    </row>
    <row r="434" spans="1:5" x14ac:dyDescent="0.3">
      <c r="A434" t="s">
        <v>864</v>
      </c>
      <c r="B434" t="s">
        <v>865</v>
      </c>
      <c r="C434" t="s">
        <v>278</v>
      </c>
      <c r="D434" t="s">
        <v>279</v>
      </c>
      <c r="E434" s="12" t="str">
        <f t="shared" si="6"/>
        <v>Centro</v>
      </c>
    </row>
    <row r="435" spans="1:5" x14ac:dyDescent="0.3">
      <c r="A435" t="s">
        <v>864</v>
      </c>
      <c r="B435" t="s">
        <v>865</v>
      </c>
      <c r="C435" t="s">
        <v>430</v>
      </c>
      <c r="D435" t="s">
        <v>431</v>
      </c>
      <c r="E435" s="12" t="str">
        <f t="shared" si="6"/>
        <v>Centro</v>
      </c>
    </row>
    <row r="436" spans="1:5" x14ac:dyDescent="0.3">
      <c r="A436" t="s">
        <v>864</v>
      </c>
      <c r="B436" t="s">
        <v>865</v>
      </c>
      <c r="C436" t="s">
        <v>478</v>
      </c>
      <c r="D436" t="s">
        <v>479</v>
      </c>
      <c r="E436" s="12" t="str">
        <f t="shared" si="6"/>
        <v>Centro</v>
      </c>
    </row>
    <row r="437" spans="1:5" x14ac:dyDescent="0.3">
      <c r="A437" t="s">
        <v>864</v>
      </c>
      <c r="B437" t="s">
        <v>865</v>
      </c>
      <c r="C437" t="s">
        <v>324</v>
      </c>
      <c r="D437" t="s">
        <v>325</v>
      </c>
      <c r="E437" s="12" t="str">
        <f t="shared" si="6"/>
        <v>Centro</v>
      </c>
    </row>
    <row r="438" spans="1:5" x14ac:dyDescent="0.3">
      <c r="A438" t="s">
        <v>864</v>
      </c>
      <c r="B438" t="s">
        <v>865</v>
      </c>
      <c r="C438" t="s">
        <v>100</v>
      </c>
      <c r="D438" t="s">
        <v>864</v>
      </c>
      <c r="E438" s="12" t="str">
        <f t="shared" si="6"/>
        <v>Centro</v>
      </c>
    </row>
    <row r="439" spans="1:5" x14ac:dyDescent="0.3">
      <c r="A439" t="s">
        <v>864</v>
      </c>
      <c r="B439" t="s">
        <v>865</v>
      </c>
      <c r="C439" t="s">
        <v>251</v>
      </c>
      <c r="D439" t="s">
        <v>252</v>
      </c>
      <c r="E439" s="12" t="str">
        <f t="shared" si="6"/>
        <v>Centro</v>
      </c>
    </row>
    <row r="440" spans="1:5" x14ac:dyDescent="0.3">
      <c r="A440" t="s">
        <v>864</v>
      </c>
      <c r="B440" t="s">
        <v>865</v>
      </c>
      <c r="C440" t="s">
        <v>619</v>
      </c>
      <c r="D440" t="s">
        <v>620</v>
      </c>
      <c r="E440" s="12" t="str">
        <f t="shared" si="6"/>
        <v>Centro</v>
      </c>
    </row>
    <row r="441" spans="1:5" x14ac:dyDescent="0.3">
      <c r="A441" t="s">
        <v>864</v>
      </c>
      <c r="B441" t="s">
        <v>865</v>
      </c>
      <c r="C441" t="s">
        <v>438</v>
      </c>
      <c r="D441" t="s">
        <v>439</v>
      </c>
      <c r="E441" s="12" t="str">
        <f t="shared" si="6"/>
        <v>Centro</v>
      </c>
    </row>
    <row r="442" spans="1:5" x14ac:dyDescent="0.3">
      <c r="A442" t="s">
        <v>866</v>
      </c>
      <c r="B442" t="s">
        <v>867</v>
      </c>
      <c r="C442" t="s">
        <v>6</v>
      </c>
      <c r="D442" t="s">
        <v>7</v>
      </c>
      <c r="E442" s="12" t="str">
        <f t="shared" si="6"/>
        <v>Centro esquerda</v>
      </c>
    </row>
    <row r="443" spans="1:5" x14ac:dyDescent="0.3">
      <c r="A443" t="s">
        <v>866</v>
      </c>
      <c r="B443" t="s">
        <v>867</v>
      </c>
      <c r="C443" t="s">
        <v>751</v>
      </c>
      <c r="D443" t="s">
        <v>752</v>
      </c>
      <c r="E443" s="12" t="str">
        <f t="shared" si="6"/>
        <v>Centro esquerda</v>
      </c>
    </row>
    <row r="444" spans="1:5" x14ac:dyDescent="0.3">
      <c r="A444" t="s">
        <v>866</v>
      </c>
      <c r="B444" t="s">
        <v>867</v>
      </c>
      <c r="C444" t="s">
        <v>692</v>
      </c>
      <c r="D444" t="s">
        <v>693</v>
      </c>
      <c r="E444" s="12" t="str">
        <f t="shared" si="6"/>
        <v>Centro esquerda</v>
      </c>
    </row>
    <row r="445" spans="1:5" x14ac:dyDescent="0.3">
      <c r="A445" t="s">
        <v>866</v>
      </c>
      <c r="B445" t="s">
        <v>867</v>
      </c>
      <c r="C445" t="s">
        <v>394</v>
      </c>
      <c r="D445" t="s">
        <v>395</v>
      </c>
      <c r="E445" s="12" t="str">
        <f t="shared" si="6"/>
        <v>Centro esquerda</v>
      </c>
    </row>
    <row r="446" spans="1:5" x14ac:dyDescent="0.3">
      <c r="A446" t="s">
        <v>866</v>
      </c>
      <c r="B446" t="s">
        <v>867</v>
      </c>
      <c r="C446" t="s">
        <v>10</v>
      </c>
      <c r="D446" t="s">
        <v>11</v>
      </c>
      <c r="E446" s="12" t="str">
        <f t="shared" si="6"/>
        <v>Centro esquerda</v>
      </c>
    </row>
    <row r="447" spans="1:5" x14ac:dyDescent="0.3">
      <c r="A447" t="s">
        <v>866</v>
      </c>
      <c r="B447" t="s">
        <v>867</v>
      </c>
      <c r="C447" t="s">
        <v>214</v>
      </c>
      <c r="D447" t="s">
        <v>215</v>
      </c>
      <c r="E447" s="12" t="str">
        <f t="shared" si="6"/>
        <v>Centro esquerda</v>
      </c>
    </row>
    <row r="448" spans="1:5" x14ac:dyDescent="0.3">
      <c r="A448" t="s">
        <v>866</v>
      </c>
      <c r="B448" t="s">
        <v>867</v>
      </c>
      <c r="C448" t="s">
        <v>216</v>
      </c>
      <c r="D448" t="s">
        <v>217</v>
      </c>
      <c r="E448" s="12" t="str">
        <f t="shared" si="6"/>
        <v>Centro esquerda</v>
      </c>
    </row>
    <row r="449" spans="1:5" x14ac:dyDescent="0.3">
      <c r="A449" t="s">
        <v>866</v>
      </c>
      <c r="B449" t="s">
        <v>867</v>
      </c>
      <c r="C449" t="s">
        <v>709</v>
      </c>
      <c r="D449" t="s">
        <v>700</v>
      </c>
      <c r="E449" s="12" t="str">
        <f t="shared" si="6"/>
        <v>Centro esquerda</v>
      </c>
    </row>
    <row r="450" spans="1:5" x14ac:dyDescent="0.3">
      <c r="A450" t="s">
        <v>866</v>
      </c>
      <c r="B450" t="s">
        <v>867</v>
      </c>
      <c r="C450" t="s">
        <v>428</v>
      </c>
      <c r="D450" t="s">
        <v>429</v>
      </c>
      <c r="E450" s="12" t="str">
        <f t="shared" si="6"/>
        <v>Centro esquerda</v>
      </c>
    </row>
    <row r="451" spans="1:5" x14ac:dyDescent="0.3">
      <c r="A451" t="s">
        <v>866</v>
      </c>
      <c r="B451" t="s">
        <v>867</v>
      </c>
      <c r="C451" t="s">
        <v>424</v>
      </c>
      <c r="D451" t="s">
        <v>425</v>
      </c>
      <c r="E451" s="12" t="str">
        <f t="shared" ref="E451:E514" si="7">IF(INDEX(K:K,MATCH(A451,I:I,0))&lt;&gt;0,INDEX(K:K,MATCH(A451,I:I,0)),"")</f>
        <v>Centro esquerda</v>
      </c>
    </row>
    <row r="452" spans="1:5" x14ac:dyDescent="0.3">
      <c r="A452" t="s">
        <v>866</v>
      </c>
      <c r="B452" t="s">
        <v>867</v>
      </c>
      <c r="C452" t="s">
        <v>791</v>
      </c>
      <c r="D452" t="s">
        <v>792</v>
      </c>
      <c r="E452" s="12" t="str">
        <f t="shared" si="7"/>
        <v>Centro esquerda</v>
      </c>
    </row>
    <row r="453" spans="1:5" x14ac:dyDescent="0.3">
      <c r="A453" t="s">
        <v>866</v>
      </c>
      <c r="B453" t="s">
        <v>867</v>
      </c>
      <c r="C453" t="s">
        <v>222</v>
      </c>
      <c r="D453" t="s">
        <v>223</v>
      </c>
      <c r="E453" s="12" t="str">
        <f t="shared" si="7"/>
        <v>Centro esquerda</v>
      </c>
    </row>
    <row r="454" spans="1:5" x14ac:dyDescent="0.3">
      <c r="A454" t="s">
        <v>866</v>
      </c>
      <c r="B454" t="s">
        <v>867</v>
      </c>
      <c r="C454" t="s">
        <v>149</v>
      </c>
      <c r="D454" t="s">
        <v>150</v>
      </c>
      <c r="E454" s="12" t="str">
        <f t="shared" si="7"/>
        <v>Centro esquerda</v>
      </c>
    </row>
    <row r="455" spans="1:5" x14ac:dyDescent="0.3">
      <c r="A455" t="s">
        <v>866</v>
      </c>
      <c r="B455" t="s">
        <v>867</v>
      </c>
      <c r="C455" t="s">
        <v>157</v>
      </c>
      <c r="D455" t="s">
        <v>158</v>
      </c>
      <c r="E455" s="12" t="str">
        <f t="shared" si="7"/>
        <v>Centro esquerda</v>
      </c>
    </row>
    <row r="456" spans="1:5" x14ac:dyDescent="0.3">
      <c r="A456" t="s">
        <v>866</v>
      </c>
      <c r="B456" t="s">
        <v>867</v>
      </c>
      <c r="C456" t="s">
        <v>793</v>
      </c>
      <c r="D456" t="s">
        <v>792</v>
      </c>
      <c r="E456" s="12" t="str">
        <f t="shared" si="7"/>
        <v>Centro esquerda</v>
      </c>
    </row>
    <row r="457" spans="1:5" x14ac:dyDescent="0.3">
      <c r="A457" t="s">
        <v>866</v>
      </c>
      <c r="B457" t="s">
        <v>867</v>
      </c>
      <c r="C457" t="s">
        <v>747</v>
      </c>
      <c r="D457" t="s">
        <v>748</v>
      </c>
      <c r="E457" s="12" t="str">
        <f t="shared" si="7"/>
        <v>Centro esquerda</v>
      </c>
    </row>
    <row r="458" spans="1:5" x14ac:dyDescent="0.3">
      <c r="A458" t="s">
        <v>866</v>
      </c>
      <c r="B458" t="s">
        <v>867</v>
      </c>
      <c r="C458" t="s">
        <v>34</v>
      </c>
      <c r="D458" t="s">
        <v>35</v>
      </c>
      <c r="E458" s="12" t="str">
        <f t="shared" si="7"/>
        <v>Centro esquerda</v>
      </c>
    </row>
    <row r="459" spans="1:5" x14ac:dyDescent="0.3">
      <c r="A459" t="s">
        <v>866</v>
      </c>
      <c r="B459" t="s">
        <v>867</v>
      </c>
      <c r="C459" t="s">
        <v>36</v>
      </c>
      <c r="D459" t="s">
        <v>37</v>
      </c>
      <c r="E459" s="12" t="str">
        <f t="shared" si="7"/>
        <v>Centro esquerda</v>
      </c>
    </row>
    <row r="460" spans="1:5" x14ac:dyDescent="0.3">
      <c r="A460" t="s">
        <v>866</v>
      </c>
      <c r="B460" t="s">
        <v>867</v>
      </c>
      <c r="C460" t="s">
        <v>302</v>
      </c>
      <c r="D460" t="s">
        <v>303</v>
      </c>
      <c r="E460" s="12" t="str">
        <f t="shared" si="7"/>
        <v>Centro esquerda</v>
      </c>
    </row>
    <row r="461" spans="1:5" x14ac:dyDescent="0.3">
      <c r="A461" t="s">
        <v>866</v>
      </c>
      <c r="B461" t="s">
        <v>867</v>
      </c>
      <c r="C461" t="s">
        <v>868</v>
      </c>
      <c r="D461" t="s">
        <v>317</v>
      </c>
      <c r="E461" s="12" t="str">
        <f t="shared" si="7"/>
        <v>Centro esquerda</v>
      </c>
    </row>
    <row r="462" spans="1:5" x14ac:dyDescent="0.3">
      <c r="A462" t="s">
        <v>866</v>
      </c>
      <c r="B462" t="s">
        <v>867</v>
      </c>
      <c r="C462" t="s">
        <v>359</v>
      </c>
      <c r="D462" t="s">
        <v>360</v>
      </c>
      <c r="E462" s="12" t="str">
        <f t="shared" si="7"/>
        <v>Centro esquerda</v>
      </c>
    </row>
    <row r="463" spans="1:5" x14ac:dyDescent="0.3">
      <c r="A463" t="s">
        <v>866</v>
      </c>
      <c r="B463" t="s">
        <v>867</v>
      </c>
      <c r="C463" t="s">
        <v>466</v>
      </c>
      <c r="D463" t="s">
        <v>467</v>
      </c>
      <c r="E463" s="12" t="str">
        <f t="shared" si="7"/>
        <v>Centro esquerda</v>
      </c>
    </row>
    <row r="464" spans="1:5" x14ac:dyDescent="0.3">
      <c r="A464" t="s">
        <v>866</v>
      </c>
      <c r="B464" t="s">
        <v>867</v>
      </c>
      <c r="C464" t="s">
        <v>54</v>
      </c>
      <c r="D464" t="s">
        <v>55</v>
      </c>
      <c r="E464" s="12" t="str">
        <f t="shared" si="7"/>
        <v>Centro esquerda</v>
      </c>
    </row>
    <row r="465" spans="1:5" x14ac:dyDescent="0.3">
      <c r="A465" t="s">
        <v>866</v>
      </c>
      <c r="B465" t="s">
        <v>867</v>
      </c>
      <c r="C465" t="s">
        <v>699</v>
      </c>
      <c r="D465" t="s">
        <v>700</v>
      </c>
      <c r="E465" s="12" t="str">
        <f t="shared" si="7"/>
        <v>Centro esquerda</v>
      </c>
    </row>
    <row r="466" spans="1:5" x14ac:dyDescent="0.3">
      <c r="A466" t="s">
        <v>866</v>
      </c>
      <c r="B466" t="s">
        <v>867</v>
      </c>
      <c r="C466" t="s">
        <v>172</v>
      </c>
      <c r="D466" t="s">
        <v>173</v>
      </c>
      <c r="E466" s="12" t="str">
        <f t="shared" si="7"/>
        <v>Centro esquerda</v>
      </c>
    </row>
    <row r="467" spans="1:5" x14ac:dyDescent="0.3">
      <c r="A467" t="s">
        <v>866</v>
      </c>
      <c r="B467" t="s">
        <v>867</v>
      </c>
      <c r="C467" t="s">
        <v>253</v>
      </c>
      <c r="D467" t="s">
        <v>254</v>
      </c>
      <c r="E467" s="12" t="str">
        <f t="shared" si="7"/>
        <v>Centro esquerda</v>
      </c>
    </row>
    <row r="468" spans="1:5" x14ac:dyDescent="0.3">
      <c r="A468" t="s">
        <v>866</v>
      </c>
      <c r="B468" t="s">
        <v>867</v>
      </c>
      <c r="C468" t="s">
        <v>255</v>
      </c>
      <c r="D468" t="s">
        <v>256</v>
      </c>
      <c r="E468" s="12" t="str">
        <f t="shared" si="7"/>
        <v>Centro esquerda</v>
      </c>
    </row>
    <row r="469" spans="1:5" x14ac:dyDescent="0.3">
      <c r="A469" t="s">
        <v>866</v>
      </c>
      <c r="B469" t="s">
        <v>867</v>
      </c>
      <c r="C469" t="s">
        <v>316</v>
      </c>
      <c r="D469" t="s">
        <v>317</v>
      </c>
      <c r="E469" s="12" t="str">
        <f t="shared" si="7"/>
        <v>Centro esquerda</v>
      </c>
    </row>
    <row r="470" spans="1:5" x14ac:dyDescent="0.3">
      <c r="A470" t="s">
        <v>866</v>
      </c>
      <c r="B470" t="s">
        <v>867</v>
      </c>
      <c r="C470" t="s">
        <v>655</v>
      </c>
      <c r="D470" t="s">
        <v>656</v>
      </c>
      <c r="E470" s="12" t="str">
        <f t="shared" si="7"/>
        <v>Centro esquerda</v>
      </c>
    </row>
    <row r="471" spans="1:5" x14ac:dyDescent="0.3">
      <c r="A471" t="s">
        <v>866</v>
      </c>
      <c r="B471" t="s">
        <v>867</v>
      </c>
      <c r="C471" t="s">
        <v>657</v>
      </c>
      <c r="D471" t="s">
        <v>658</v>
      </c>
      <c r="E471" s="12" t="str">
        <f t="shared" si="7"/>
        <v>Centro esquerda</v>
      </c>
    </row>
    <row r="472" spans="1:5" x14ac:dyDescent="0.3">
      <c r="A472" t="s">
        <v>866</v>
      </c>
      <c r="B472" t="s">
        <v>867</v>
      </c>
      <c r="C472" t="s">
        <v>463</v>
      </c>
      <c r="D472" t="s">
        <v>460</v>
      </c>
      <c r="E472" s="12" t="str">
        <f t="shared" si="7"/>
        <v>Centro esquerda</v>
      </c>
    </row>
    <row r="473" spans="1:5" x14ac:dyDescent="0.3">
      <c r="A473" t="s">
        <v>866</v>
      </c>
      <c r="B473" t="s">
        <v>867</v>
      </c>
      <c r="C473" t="s">
        <v>100</v>
      </c>
      <c r="D473" t="s">
        <v>866</v>
      </c>
      <c r="E473" s="12" t="str">
        <f t="shared" si="7"/>
        <v>Centro esquerda</v>
      </c>
    </row>
    <row r="474" spans="1:5" x14ac:dyDescent="0.3">
      <c r="A474" t="s">
        <v>866</v>
      </c>
      <c r="B474" t="s">
        <v>867</v>
      </c>
      <c r="C474" t="s">
        <v>587</v>
      </c>
      <c r="D474" t="s">
        <v>588</v>
      </c>
      <c r="E474" s="12" t="str">
        <f t="shared" si="7"/>
        <v>Centro esquerda</v>
      </c>
    </row>
    <row r="475" spans="1:5" x14ac:dyDescent="0.3">
      <c r="A475" t="s">
        <v>866</v>
      </c>
      <c r="B475" t="s">
        <v>867</v>
      </c>
      <c r="C475" t="s">
        <v>361</v>
      </c>
      <c r="D475" t="s">
        <v>362</v>
      </c>
      <c r="E475" s="12" t="str">
        <f t="shared" si="7"/>
        <v>Centro esquerda</v>
      </c>
    </row>
    <row r="476" spans="1:5" x14ac:dyDescent="0.3">
      <c r="A476" t="s">
        <v>866</v>
      </c>
      <c r="B476" t="s">
        <v>867</v>
      </c>
      <c r="C476" t="s">
        <v>457</v>
      </c>
      <c r="D476" t="s">
        <v>458</v>
      </c>
      <c r="E476" s="12" t="str">
        <f t="shared" si="7"/>
        <v>Centro esquerda</v>
      </c>
    </row>
    <row r="477" spans="1:5" x14ac:dyDescent="0.3">
      <c r="A477" t="s">
        <v>866</v>
      </c>
      <c r="B477" t="s">
        <v>867</v>
      </c>
      <c r="C477" t="s">
        <v>175</v>
      </c>
      <c r="D477" t="s">
        <v>176</v>
      </c>
      <c r="E477" s="12" t="str">
        <f t="shared" si="7"/>
        <v>Centro esquerda</v>
      </c>
    </row>
    <row r="478" spans="1:5" x14ac:dyDescent="0.3">
      <c r="A478" t="s">
        <v>866</v>
      </c>
      <c r="B478" t="s">
        <v>867</v>
      </c>
      <c r="C478" t="s">
        <v>410</v>
      </c>
      <c r="D478" t="s">
        <v>411</v>
      </c>
      <c r="E478" s="12" t="str">
        <f t="shared" si="7"/>
        <v>Centro esquerda</v>
      </c>
    </row>
    <row r="479" spans="1:5" x14ac:dyDescent="0.3">
      <c r="A479" t="s">
        <v>866</v>
      </c>
      <c r="B479" t="s">
        <v>867</v>
      </c>
      <c r="C479" t="s">
        <v>412</v>
      </c>
      <c r="D479" t="s">
        <v>413</v>
      </c>
      <c r="E479" s="12" t="str">
        <f t="shared" si="7"/>
        <v>Centro esquerda</v>
      </c>
    </row>
    <row r="480" spans="1:5" x14ac:dyDescent="0.3">
      <c r="A480" t="s">
        <v>866</v>
      </c>
      <c r="B480" t="s">
        <v>867</v>
      </c>
      <c r="C480" t="s">
        <v>434</v>
      </c>
      <c r="D480" t="s">
        <v>435</v>
      </c>
      <c r="E480" s="12" t="str">
        <f t="shared" si="7"/>
        <v>Centro esquerda</v>
      </c>
    </row>
    <row r="481" spans="1:5" x14ac:dyDescent="0.3">
      <c r="A481" t="s">
        <v>866</v>
      </c>
      <c r="B481" t="s">
        <v>867</v>
      </c>
      <c r="C481" t="s">
        <v>438</v>
      </c>
      <c r="D481" t="s">
        <v>439</v>
      </c>
      <c r="E481" s="12" t="str">
        <f t="shared" si="7"/>
        <v>Centro esquerda</v>
      </c>
    </row>
    <row r="482" spans="1:5" x14ac:dyDescent="0.3">
      <c r="A482" t="s">
        <v>866</v>
      </c>
      <c r="B482" t="s">
        <v>867</v>
      </c>
      <c r="C482" t="s">
        <v>261</v>
      </c>
      <c r="D482" t="s">
        <v>262</v>
      </c>
      <c r="E482" s="12" t="str">
        <f t="shared" si="7"/>
        <v>Centro esquerda</v>
      </c>
    </row>
    <row r="483" spans="1:5" x14ac:dyDescent="0.3">
      <c r="A483" t="s">
        <v>866</v>
      </c>
      <c r="B483" t="s">
        <v>867</v>
      </c>
      <c r="C483" t="s">
        <v>186</v>
      </c>
      <c r="D483" t="s">
        <v>187</v>
      </c>
      <c r="E483" s="12" t="str">
        <f t="shared" si="7"/>
        <v>Centro esquerda</v>
      </c>
    </row>
    <row r="484" spans="1:5" x14ac:dyDescent="0.3">
      <c r="A484" t="s">
        <v>206</v>
      </c>
      <c r="B484" t="s">
        <v>207</v>
      </c>
      <c r="C484" t="s">
        <v>208</v>
      </c>
      <c r="D484" t="s">
        <v>209</v>
      </c>
      <c r="E484" s="12" t="str">
        <f t="shared" si="7"/>
        <v>Centro direita</v>
      </c>
    </row>
    <row r="485" spans="1:5" x14ac:dyDescent="0.3">
      <c r="A485" t="s">
        <v>206</v>
      </c>
      <c r="B485" t="s">
        <v>207</v>
      </c>
      <c r="C485" t="s">
        <v>210</v>
      </c>
      <c r="D485" t="s">
        <v>211</v>
      </c>
      <c r="E485" s="12" t="str">
        <f t="shared" si="7"/>
        <v>Centro direita</v>
      </c>
    </row>
    <row r="486" spans="1:5" x14ac:dyDescent="0.3">
      <c r="A486" t="s">
        <v>206</v>
      </c>
      <c r="B486" t="s">
        <v>207</v>
      </c>
      <c r="C486" t="s">
        <v>212</v>
      </c>
      <c r="D486" t="s">
        <v>213</v>
      </c>
      <c r="E486" s="12" t="str">
        <f t="shared" si="7"/>
        <v>Centro direita</v>
      </c>
    </row>
    <row r="487" spans="1:5" x14ac:dyDescent="0.3">
      <c r="A487" t="s">
        <v>206</v>
      </c>
      <c r="B487" t="s">
        <v>207</v>
      </c>
      <c r="C487" t="s">
        <v>137</v>
      </c>
      <c r="D487" t="s">
        <v>138</v>
      </c>
      <c r="E487" s="12" t="str">
        <f t="shared" si="7"/>
        <v>Centro direita</v>
      </c>
    </row>
    <row r="488" spans="1:5" x14ac:dyDescent="0.3">
      <c r="A488" t="s">
        <v>206</v>
      </c>
      <c r="B488" t="s">
        <v>207</v>
      </c>
      <c r="C488" t="s">
        <v>214</v>
      </c>
      <c r="D488" t="s">
        <v>215</v>
      </c>
      <c r="E488" s="12" t="str">
        <f t="shared" si="7"/>
        <v>Centro direita</v>
      </c>
    </row>
    <row r="489" spans="1:5" x14ac:dyDescent="0.3">
      <c r="A489" t="s">
        <v>206</v>
      </c>
      <c r="B489" t="s">
        <v>207</v>
      </c>
      <c r="C489" t="s">
        <v>216</v>
      </c>
      <c r="D489" t="s">
        <v>217</v>
      </c>
      <c r="E489" s="12" t="str">
        <f t="shared" si="7"/>
        <v>Centro direita</v>
      </c>
    </row>
    <row r="490" spans="1:5" x14ac:dyDescent="0.3">
      <c r="A490" t="s">
        <v>206</v>
      </c>
      <c r="B490" t="s">
        <v>207</v>
      </c>
      <c r="C490" t="s">
        <v>218</v>
      </c>
      <c r="D490" t="s">
        <v>219</v>
      </c>
      <c r="E490" s="12" t="str">
        <f t="shared" si="7"/>
        <v>Centro direita</v>
      </c>
    </row>
    <row r="491" spans="1:5" x14ac:dyDescent="0.3">
      <c r="A491" t="s">
        <v>206</v>
      </c>
      <c r="B491" t="s">
        <v>207</v>
      </c>
      <c r="C491" t="s">
        <v>220</v>
      </c>
      <c r="D491" t="s">
        <v>221</v>
      </c>
      <c r="E491" s="12" t="str">
        <f t="shared" si="7"/>
        <v>Centro direita</v>
      </c>
    </row>
    <row r="492" spans="1:5" x14ac:dyDescent="0.3">
      <c r="A492" t="s">
        <v>206</v>
      </c>
      <c r="B492" t="s">
        <v>207</v>
      </c>
      <c r="C492" t="s">
        <v>139</v>
      </c>
      <c r="D492" t="s">
        <v>140</v>
      </c>
      <c r="E492" s="12" t="str">
        <f t="shared" si="7"/>
        <v>Centro direita</v>
      </c>
    </row>
    <row r="493" spans="1:5" x14ac:dyDescent="0.3">
      <c r="A493" t="s">
        <v>206</v>
      </c>
      <c r="B493" t="s">
        <v>207</v>
      </c>
      <c r="C493" t="s">
        <v>141</v>
      </c>
      <c r="D493" t="s">
        <v>142</v>
      </c>
      <c r="E493" s="12" t="str">
        <f t="shared" si="7"/>
        <v>Centro direita</v>
      </c>
    </row>
    <row r="494" spans="1:5" x14ac:dyDescent="0.3">
      <c r="A494" t="s">
        <v>206</v>
      </c>
      <c r="B494" t="s">
        <v>207</v>
      </c>
      <c r="C494" t="s">
        <v>222</v>
      </c>
      <c r="D494" t="s">
        <v>223</v>
      </c>
      <c r="E494" s="12" t="str">
        <f t="shared" si="7"/>
        <v>Centro direita</v>
      </c>
    </row>
    <row r="495" spans="1:5" x14ac:dyDescent="0.3">
      <c r="A495" t="s">
        <v>206</v>
      </c>
      <c r="B495" t="s">
        <v>207</v>
      </c>
      <c r="C495" t="s">
        <v>206</v>
      </c>
      <c r="D495" t="s">
        <v>206</v>
      </c>
      <c r="E495" s="12" t="str">
        <f t="shared" si="7"/>
        <v>Centro direita</v>
      </c>
    </row>
    <row r="496" spans="1:5" x14ac:dyDescent="0.3">
      <c r="A496" t="s">
        <v>206</v>
      </c>
      <c r="B496" t="s">
        <v>207</v>
      </c>
      <c r="C496" t="s">
        <v>224</v>
      </c>
      <c r="D496" t="s">
        <v>225</v>
      </c>
      <c r="E496" s="12" t="str">
        <f t="shared" si="7"/>
        <v>Centro direita</v>
      </c>
    </row>
    <row r="497" spans="1:5" x14ac:dyDescent="0.3">
      <c r="A497" t="s">
        <v>206</v>
      </c>
      <c r="B497" t="s">
        <v>207</v>
      </c>
      <c r="C497" t="s">
        <v>50</v>
      </c>
      <c r="D497" t="s">
        <v>51</v>
      </c>
      <c r="E497" s="12" t="str">
        <f t="shared" si="7"/>
        <v>Centro direita</v>
      </c>
    </row>
    <row r="498" spans="1:5" x14ac:dyDescent="0.3">
      <c r="A498" t="s">
        <v>206</v>
      </c>
      <c r="B498" t="s">
        <v>207</v>
      </c>
      <c r="C498" t="s">
        <v>226</v>
      </c>
      <c r="D498" t="s">
        <v>227</v>
      </c>
      <c r="E498" s="12" t="str">
        <f t="shared" si="7"/>
        <v>Centro direita</v>
      </c>
    </row>
    <row r="499" spans="1:5" x14ac:dyDescent="0.3">
      <c r="A499" t="s">
        <v>206</v>
      </c>
      <c r="B499" t="s">
        <v>207</v>
      </c>
      <c r="C499" t="s">
        <v>228</v>
      </c>
      <c r="D499" t="s">
        <v>229</v>
      </c>
      <c r="E499" s="12" t="str">
        <f t="shared" si="7"/>
        <v>Centro direita</v>
      </c>
    </row>
    <row r="500" spans="1:5" x14ac:dyDescent="0.3">
      <c r="A500" t="s">
        <v>206</v>
      </c>
      <c r="B500" t="s">
        <v>207</v>
      </c>
      <c r="C500" t="s">
        <v>230</v>
      </c>
      <c r="D500" t="s">
        <v>227</v>
      </c>
      <c r="E500" s="12" t="str">
        <f t="shared" si="7"/>
        <v>Centro direita</v>
      </c>
    </row>
    <row r="501" spans="1:5" x14ac:dyDescent="0.3">
      <c r="A501" t="s">
        <v>206</v>
      </c>
      <c r="B501" t="s">
        <v>207</v>
      </c>
      <c r="C501" t="s">
        <v>231</v>
      </c>
      <c r="D501" t="s">
        <v>232</v>
      </c>
      <c r="E501" s="12" t="str">
        <f t="shared" si="7"/>
        <v>Centro direita</v>
      </c>
    </row>
    <row r="502" spans="1:5" x14ac:dyDescent="0.3">
      <c r="A502" t="s">
        <v>206</v>
      </c>
      <c r="B502" t="s">
        <v>207</v>
      </c>
      <c r="C502" t="s">
        <v>233</v>
      </c>
      <c r="D502" t="s">
        <v>234</v>
      </c>
      <c r="E502" s="12" t="str">
        <f t="shared" si="7"/>
        <v>Centro direita</v>
      </c>
    </row>
    <row r="503" spans="1:5" x14ac:dyDescent="0.3">
      <c r="A503" t="s">
        <v>206</v>
      </c>
      <c r="B503" t="s">
        <v>207</v>
      </c>
      <c r="C503" t="s">
        <v>42</v>
      </c>
      <c r="D503" t="s">
        <v>43</v>
      </c>
      <c r="E503" s="12" t="str">
        <f t="shared" si="7"/>
        <v>Centro direita</v>
      </c>
    </row>
    <row r="504" spans="1:5" x14ac:dyDescent="0.3">
      <c r="A504" t="s">
        <v>206</v>
      </c>
      <c r="B504" t="s">
        <v>207</v>
      </c>
      <c r="C504" t="s">
        <v>235</v>
      </c>
      <c r="D504" t="s">
        <v>236</v>
      </c>
      <c r="E504" s="12" t="str">
        <f t="shared" si="7"/>
        <v>Centro direita</v>
      </c>
    </row>
    <row r="505" spans="1:5" x14ac:dyDescent="0.3">
      <c r="A505" t="s">
        <v>206</v>
      </c>
      <c r="B505" t="s">
        <v>207</v>
      </c>
      <c r="C505" t="s">
        <v>237</v>
      </c>
      <c r="D505" t="s">
        <v>238</v>
      </c>
      <c r="E505" s="12" t="str">
        <f t="shared" si="7"/>
        <v>Centro direita</v>
      </c>
    </row>
    <row r="506" spans="1:5" x14ac:dyDescent="0.3">
      <c r="A506" t="s">
        <v>206</v>
      </c>
      <c r="B506" t="s">
        <v>207</v>
      </c>
      <c r="C506" t="s">
        <v>239</v>
      </c>
      <c r="D506" t="s">
        <v>240</v>
      </c>
      <c r="E506" s="12" t="str">
        <f t="shared" si="7"/>
        <v>Centro direita</v>
      </c>
    </row>
    <row r="507" spans="1:5" x14ac:dyDescent="0.3">
      <c r="A507" t="s">
        <v>206</v>
      </c>
      <c r="B507" t="s">
        <v>207</v>
      </c>
      <c r="C507" t="s">
        <v>241</v>
      </c>
      <c r="D507" t="s">
        <v>242</v>
      </c>
      <c r="E507" s="12" t="str">
        <f t="shared" si="7"/>
        <v>Centro direita</v>
      </c>
    </row>
    <row r="508" spans="1:5" x14ac:dyDescent="0.3">
      <c r="A508" t="s">
        <v>206</v>
      </c>
      <c r="B508" t="s">
        <v>207</v>
      </c>
      <c r="C508" t="s">
        <v>16</v>
      </c>
      <c r="D508" t="s">
        <v>17</v>
      </c>
      <c r="E508" s="12" t="str">
        <f t="shared" si="7"/>
        <v>Centro direita</v>
      </c>
    </row>
    <row r="509" spans="1:5" x14ac:dyDescent="0.3">
      <c r="A509" t="s">
        <v>206</v>
      </c>
      <c r="B509" t="s">
        <v>207</v>
      </c>
      <c r="C509" t="s">
        <v>243</v>
      </c>
      <c r="D509" t="s">
        <v>244</v>
      </c>
      <c r="E509" s="12" t="str">
        <f t="shared" si="7"/>
        <v>Centro direita</v>
      </c>
    </row>
    <row r="510" spans="1:5" x14ac:dyDescent="0.3">
      <c r="A510" t="s">
        <v>206</v>
      </c>
      <c r="B510" t="s">
        <v>207</v>
      </c>
      <c r="C510" t="s">
        <v>245</v>
      </c>
      <c r="D510" t="s">
        <v>246</v>
      </c>
      <c r="E510" s="12" t="str">
        <f t="shared" si="7"/>
        <v>Centro direita</v>
      </c>
    </row>
    <row r="511" spans="1:5" x14ac:dyDescent="0.3">
      <c r="A511" t="s">
        <v>206</v>
      </c>
      <c r="B511" t="s">
        <v>207</v>
      </c>
      <c r="C511" t="s">
        <v>247</v>
      </c>
      <c r="D511" t="s">
        <v>248</v>
      </c>
      <c r="E511" s="12" t="str">
        <f t="shared" si="7"/>
        <v>Centro direita</v>
      </c>
    </row>
    <row r="512" spans="1:5" x14ac:dyDescent="0.3">
      <c r="A512" t="s">
        <v>206</v>
      </c>
      <c r="B512" t="s">
        <v>207</v>
      </c>
      <c r="C512" t="s">
        <v>80</v>
      </c>
      <c r="D512" t="s">
        <v>81</v>
      </c>
      <c r="E512" s="12" t="str">
        <f t="shared" si="7"/>
        <v>Centro direita</v>
      </c>
    </row>
    <row r="513" spans="1:5" x14ac:dyDescent="0.3">
      <c r="A513" t="s">
        <v>206</v>
      </c>
      <c r="B513" t="s">
        <v>207</v>
      </c>
      <c r="C513" t="s">
        <v>249</v>
      </c>
      <c r="D513" t="s">
        <v>250</v>
      </c>
      <c r="E513" s="12" t="str">
        <f t="shared" si="7"/>
        <v>Centro direita</v>
      </c>
    </row>
    <row r="514" spans="1:5" x14ac:dyDescent="0.3">
      <c r="A514" t="s">
        <v>206</v>
      </c>
      <c r="B514" t="s">
        <v>207</v>
      </c>
      <c r="C514" t="s">
        <v>251</v>
      </c>
      <c r="D514" t="s">
        <v>252</v>
      </c>
      <c r="E514" s="12" t="str">
        <f t="shared" si="7"/>
        <v>Centro direita</v>
      </c>
    </row>
    <row r="515" spans="1:5" x14ac:dyDescent="0.3">
      <c r="A515" t="s">
        <v>206</v>
      </c>
      <c r="B515" t="s">
        <v>207</v>
      </c>
      <c r="C515" t="s">
        <v>172</v>
      </c>
      <c r="D515" t="s">
        <v>173</v>
      </c>
      <c r="E515" s="12" t="str">
        <f t="shared" ref="E515:E578" si="8">IF(INDEX(K:K,MATCH(A515,I:I,0))&lt;&gt;0,INDEX(K:K,MATCH(A515,I:I,0)),"")</f>
        <v>Centro direita</v>
      </c>
    </row>
    <row r="516" spans="1:5" x14ac:dyDescent="0.3">
      <c r="A516" t="s">
        <v>206</v>
      </c>
      <c r="B516" t="s">
        <v>207</v>
      </c>
      <c r="C516" t="s">
        <v>253</v>
      </c>
      <c r="D516" t="s">
        <v>254</v>
      </c>
      <c r="E516" s="12" t="str">
        <f t="shared" si="8"/>
        <v>Centro direita</v>
      </c>
    </row>
    <row r="517" spans="1:5" x14ac:dyDescent="0.3">
      <c r="A517" t="s">
        <v>206</v>
      </c>
      <c r="B517" t="s">
        <v>207</v>
      </c>
      <c r="C517" t="s">
        <v>255</v>
      </c>
      <c r="D517" t="s">
        <v>256</v>
      </c>
      <c r="E517" s="12" t="str">
        <f t="shared" si="8"/>
        <v>Centro direita</v>
      </c>
    </row>
    <row r="518" spans="1:5" x14ac:dyDescent="0.3">
      <c r="A518" t="s">
        <v>206</v>
      </c>
      <c r="B518" t="s">
        <v>207</v>
      </c>
      <c r="C518" t="s">
        <v>257</v>
      </c>
      <c r="D518" t="s">
        <v>258</v>
      </c>
      <c r="E518" s="12" t="str">
        <f t="shared" si="8"/>
        <v>Centro direita</v>
      </c>
    </row>
    <row r="519" spans="1:5" x14ac:dyDescent="0.3">
      <c r="A519" t="s">
        <v>206</v>
      </c>
      <c r="B519" t="s">
        <v>207</v>
      </c>
      <c r="C519" t="s">
        <v>259</v>
      </c>
      <c r="D519" t="s">
        <v>260</v>
      </c>
      <c r="E519" s="12" t="str">
        <f t="shared" si="8"/>
        <v>Centro direita</v>
      </c>
    </row>
    <row r="520" spans="1:5" x14ac:dyDescent="0.3">
      <c r="A520" t="s">
        <v>206</v>
      </c>
      <c r="B520" t="s">
        <v>207</v>
      </c>
      <c r="C520" t="s">
        <v>78</v>
      </c>
      <c r="D520" t="s">
        <v>79</v>
      </c>
      <c r="E520" s="12" t="str">
        <f t="shared" si="8"/>
        <v>Centro direita</v>
      </c>
    </row>
    <row r="521" spans="1:5" x14ac:dyDescent="0.3">
      <c r="A521" t="s">
        <v>206</v>
      </c>
      <c r="B521" t="s">
        <v>207</v>
      </c>
      <c r="C521" t="s">
        <v>186</v>
      </c>
      <c r="D521" t="s">
        <v>187</v>
      </c>
      <c r="E521" s="12" t="str">
        <f t="shared" si="8"/>
        <v>Centro direita</v>
      </c>
    </row>
    <row r="522" spans="1:5" x14ac:dyDescent="0.3">
      <c r="A522" t="s">
        <v>206</v>
      </c>
      <c r="B522" t="s">
        <v>207</v>
      </c>
      <c r="C522" t="s">
        <v>261</v>
      </c>
      <c r="D522" t="s">
        <v>262</v>
      </c>
      <c r="E522" s="12" t="str">
        <f t="shared" si="8"/>
        <v>Centro direita</v>
      </c>
    </row>
    <row r="523" spans="1:5" x14ac:dyDescent="0.3">
      <c r="A523" t="s">
        <v>206</v>
      </c>
      <c r="B523" t="s">
        <v>207</v>
      </c>
      <c r="C523" t="s">
        <v>263</v>
      </c>
      <c r="D523" t="s">
        <v>264</v>
      </c>
      <c r="E523" s="12" t="str">
        <f t="shared" si="8"/>
        <v>Centro direita</v>
      </c>
    </row>
    <row r="524" spans="1:5" x14ac:dyDescent="0.3">
      <c r="A524" t="s">
        <v>206</v>
      </c>
      <c r="B524" t="s">
        <v>207</v>
      </c>
      <c r="C524" t="s">
        <v>265</v>
      </c>
      <c r="D524" t="s">
        <v>266</v>
      </c>
      <c r="E524" s="12" t="str">
        <f t="shared" si="8"/>
        <v>Centro direita</v>
      </c>
    </row>
    <row r="525" spans="1:5" x14ac:dyDescent="0.3">
      <c r="A525" t="s">
        <v>206</v>
      </c>
      <c r="B525" t="s">
        <v>207</v>
      </c>
      <c r="C525" t="s">
        <v>267</v>
      </c>
      <c r="D525" t="s">
        <v>227</v>
      </c>
      <c r="E525" s="12" t="str">
        <f t="shared" si="8"/>
        <v>Centro direita</v>
      </c>
    </row>
    <row r="526" spans="1:5" x14ac:dyDescent="0.3">
      <c r="A526" t="s">
        <v>206</v>
      </c>
      <c r="B526" t="s">
        <v>207</v>
      </c>
      <c r="C526" t="s">
        <v>192</v>
      </c>
      <c r="D526" t="s">
        <v>193</v>
      </c>
      <c r="E526" s="12" t="str">
        <f t="shared" si="8"/>
        <v>Centro direita</v>
      </c>
    </row>
    <row r="527" spans="1:5" x14ac:dyDescent="0.3">
      <c r="A527" t="s">
        <v>206</v>
      </c>
      <c r="B527" t="s">
        <v>207</v>
      </c>
      <c r="C527" t="s">
        <v>268</v>
      </c>
      <c r="D527" t="s">
        <v>269</v>
      </c>
      <c r="E527" s="12" t="str">
        <f t="shared" si="8"/>
        <v>Centro direita</v>
      </c>
    </row>
    <row r="528" spans="1:5" x14ac:dyDescent="0.3">
      <c r="A528" t="s">
        <v>206</v>
      </c>
      <c r="B528" t="s">
        <v>207</v>
      </c>
      <c r="C528" t="s">
        <v>270</v>
      </c>
      <c r="D528" t="s">
        <v>271</v>
      </c>
      <c r="E528" s="12" t="str">
        <f t="shared" si="8"/>
        <v>Centro direita</v>
      </c>
    </row>
    <row r="529" spans="1:5" x14ac:dyDescent="0.3">
      <c r="A529" t="s">
        <v>206</v>
      </c>
      <c r="B529" t="s">
        <v>207</v>
      </c>
      <c r="C529" t="s">
        <v>272</v>
      </c>
      <c r="D529" t="s">
        <v>273</v>
      </c>
      <c r="E529" s="12" t="str">
        <f t="shared" si="8"/>
        <v>Centro direita</v>
      </c>
    </row>
    <row r="530" spans="1:5" x14ac:dyDescent="0.3">
      <c r="A530" t="s">
        <v>206</v>
      </c>
      <c r="B530" t="s">
        <v>207</v>
      </c>
      <c r="C530" t="s">
        <v>274</v>
      </c>
      <c r="D530" t="s">
        <v>275</v>
      </c>
      <c r="E530" s="12" t="str">
        <f t="shared" si="8"/>
        <v>Centro direita</v>
      </c>
    </row>
    <row r="531" spans="1:5" x14ac:dyDescent="0.3">
      <c r="A531" t="s">
        <v>206</v>
      </c>
      <c r="B531" t="s">
        <v>207</v>
      </c>
      <c r="C531" t="s">
        <v>276</v>
      </c>
      <c r="D531" t="s">
        <v>277</v>
      </c>
      <c r="E531" s="12" t="str">
        <f t="shared" si="8"/>
        <v>Centro direita</v>
      </c>
    </row>
    <row r="532" spans="1:5" x14ac:dyDescent="0.3">
      <c r="A532" t="s">
        <v>206</v>
      </c>
      <c r="B532" t="s">
        <v>207</v>
      </c>
      <c r="C532" t="s">
        <v>278</v>
      </c>
      <c r="D532" t="s">
        <v>279</v>
      </c>
      <c r="E532" s="12" t="str">
        <f t="shared" si="8"/>
        <v>Centro direita</v>
      </c>
    </row>
    <row r="533" spans="1:5" x14ac:dyDescent="0.3">
      <c r="A533" t="s">
        <v>206</v>
      </c>
      <c r="B533" t="s">
        <v>207</v>
      </c>
      <c r="C533" t="s">
        <v>280</v>
      </c>
      <c r="D533" t="s">
        <v>281</v>
      </c>
      <c r="E533" s="12" t="str">
        <f t="shared" si="8"/>
        <v>Centro direita</v>
      </c>
    </row>
    <row r="534" spans="1:5" x14ac:dyDescent="0.3">
      <c r="A534" t="s">
        <v>206</v>
      </c>
      <c r="B534" t="s">
        <v>207</v>
      </c>
      <c r="C534" t="s">
        <v>100</v>
      </c>
      <c r="D534" t="s">
        <v>206</v>
      </c>
      <c r="E534" s="12" t="str">
        <f t="shared" si="8"/>
        <v>Centro direita</v>
      </c>
    </row>
    <row r="535" spans="1:5" x14ac:dyDescent="0.3">
      <c r="A535" t="s">
        <v>756</v>
      </c>
      <c r="B535" t="s">
        <v>757</v>
      </c>
      <c r="C535" t="s">
        <v>6</v>
      </c>
      <c r="D535" t="s">
        <v>7</v>
      </c>
      <c r="E535" s="12" t="str">
        <f t="shared" si="8"/>
        <v>Centro direita</v>
      </c>
    </row>
    <row r="536" spans="1:5" x14ac:dyDescent="0.3">
      <c r="A536" t="s">
        <v>756</v>
      </c>
      <c r="B536" t="s">
        <v>757</v>
      </c>
      <c r="C536" t="s">
        <v>758</v>
      </c>
      <c r="D536" t="s">
        <v>759</v>
      </c>
      <c r="E536" s="12" t="str">
        <f t="shared" si="8"/>
        <v>Centro direita</v>
      </c>
    </row>
    <row r="537" spans="1:5" x14ac:dyDescent="0.3">
      <c r="A537" t="s">
        <v>756</v>
      </c>
      <c r="B537" t="s">
        <v>757</v>
      </c>
      <c r="C537" t="s">
        <v>601</v>
      </c>
      <c r="D537" t="s">
        <v>602</v>
      </c>
      <c r="E537" s="12" t="str">
        <f t="shared" si="8"/>
        <v>Centro direita</v>
      </c>
    </row>
    <row r="538" spans="1:5" x14ac:dyDescent="0.3">
      <c r="A538" t="s">
        <v>756</v>
      </c>
      <c r="B538" t="s">
        <v>757</v>
      </c>
      <c r="C538" t="s">
        <v>76</v>
      </c>
      <c r="D538" t="s">
        <v>77</v>
      </c>
      <c r="E538" s="12" t="str">
        <f t="shared" si="8"/>
        <v>Centro direita</v>
      </c>
    </row>
    <row r="539" spans="1:5" x14ac:dyDescent="0.3">
      <c r="A539" t="s">
        <v>756</v>
      </c>
      <c r="B539" t="s">
        <v>757</v>
      </c>
      <c r="C539" t="s">
        <v>396</v>
      </c>
      <c r="D539" t="s">
        <v>397</v>
      </c>
      <c r="E539" s="12" t="str">
        <f t="shared" si="8"/>
        <v>Centro direita</v>
      </c>
    </row>
    <row r="540" spans="1:5" x14ac:dyDescent="0.3">
      <c r="A540" t="s">
        <v>756</v>
      </c>
      <c r="B540" t="s">
        <v>757</v>
      </c>
      <c r="C540" t="s">
        <v>398</v>
      </c>
      <c r="D540" t="s">
        <v>399</v>
      </c>
      <c r="E540" s="12" t="str">
        <f t="shared" si="8"/>
        <v>Centro direita</v>
      </c>
    </row>
    <row r="541" spans="1:5" x14ac:dyDescent="0.3">
      <c r="A541" t="s">
        <v>756</v>
      </c>
      <c r="B541" t="s">
        <v>757</v>
      </c>
      <c r="C541" t="s">
        <v>394</v>
      </c>
      <c r="D541" t="s">
        <v>395</v>
      </c>
      <c r="E541" s="12" t="str">
        <f t="shared" si="8"/>
        <v>Centro direita</v>
      </c>
    </row>
    <row r="542" spans="1:5" x14ac:dyDescent="0.3">
      <c r="A542" t="s">
        <v>756</v>
      </c>
      <c r="B542" t="s">
        <v>757</v>
      </c>
      <c r="C542" t="s">
        <v>10</v>
      </c>
      <c r="D542" t="s">
        <v>11</v>
      </c>
      <c r="E542" s="12" t="str">
        <f t="shared" si="8"/>
        <v>Centro direita</v>
      </c>
    </row>
    <row r="543" spans="1:5" x14ac:dyDescent="0.3">
      <c r="A543" t="s">
        <v>756</v>
      </c>
      <c r="B543" t="s">
        <v>757</v>
      </c>
      <c r="C543" t="s">
        <v>694</v>
      </c>
      <c r="D543" t="s">
        <v>399</v>
      </c>
      <c r="E543" s="12" t="str">
        <f t="shared" si="8"/>
        <v>Centro direita</v>
      </c>
    </row>
    <row r="544" spans="1:5" x14ac:dyDescent="0.3">
      <c r="A544" t="s">
        <v>756</v>
      </c>
      <c r="B544" t="s">
        <v>757</v>
      </c>
      <c r="C544" t="s">
        <v>507</v>
      </c>
      <c r="D544" t="s">
        <v>508</v>
      </c>
      <c r="E544" s="12" t="str">
        <f t="shared" si="8"/>
        <v>Centro direita</v>
      </c>
    </row>
    <row r="545" spans="1:5" x14ac:dyDescent="0.3">
      <c r="A545" t="s">
        <v>756</v>
      </c>
      <c r="B545" t="s">
        <v>757</v>
      </c>
      <c r="C545" t="s">
        <v>298</v>
      </c>
      <c r="D545" t="s">
        <v>299</v>
      </c>
      <c r="E545" s="12" t="str">
        <f t="shared" si="8"/>
        <v>Centro direita</v>
      </c>
    </row>
    <row r="546" spans="1:5" x14ac:dyDescent="0.3">
      <c r="A546" t="s">
        <v>756</v>
      </c>
      <c r="B546" t="s">
        <v>757</v>
      </c>
      <c r="C546" t="s">
        <v>639</v>
      </c>
      <c r="D546" t="s">
        <v>640</v>
      </c>
      <c r="E546" s="12" t="str">
        <f t="shared" si="8"/>
        <v>Centro direita</v>
      </c>
    </row>
    <row r="547" spans="1:5" x14ac:dyDescent="0.3">
      <c r="A547" t="s">
        <v>756</v>
      </c>
      <c r="B547" t="s">
        <v>757</v>
      </c>
      <c r="C547" t="s">
        <v>226</v>
      </c>
      <c r="D547" t="s">
        <v>227</v>
      </c>
      <c r="E547" s="12" t="str">
        <f t="shared" si="8"/>
        <v>Centro direita</v>
      </c>
    </row>
    <row r="548" spans="1:5" x14ac:dyDescent="0.3">
      <c r="A548" t="s">
        <v>756</v>
      </c>
      <c r="B548" t="s">
        <v>757</v>
      </c>
      <c r="C548" t="s">
        <v>760</v>
      </c>
      <c r="D548" t="s">
        <v>761</v>
      </c>
      <c r="E548" s="12" t="str">
        <f t="shared" si="8"/>
        <v>Centro direita</v>
      </c>
    </row>
    <row r="549" spans="1:5" x14ac:dyDescent="0.3">
      <c r="A549" t="s">
        <v>756</v>
      </c>
      <c r="B549" t="s">
        <v>757</v>
      </c>
      <c r="C549" t="s">
        <v>762</v>
      </c>
      <c r="D549" t="s">
        <v>763</v>
      </c>
      <c r="E549" s="12" t="str">
        <f t="shared" si="8"/>
        <v>Centro direita</v>
      </c>
    </row>
    <row r="550" spans="1:5" x14ac:dyDescent="0.3">
      <c r="A550" t="s">
        <v>756</v>
      </c>
      <c r="B550" t="s">
        <v>757</v>
      </c>
      <c r="C550" t="s">
        <v>224</v>
      </c>
      <c r="D550" t="s">
        <v>225</v>
      </c>
      <c r="E550" s="12" t="str">
        <f t="shared" si="8"/>
        <v>Centro direita</v>
      </c>
    </row>
    <row r="551" spans="1:5" x14ac:dyDescent="0.3">
      <c r="A551" t="s">
        <v>756</v>
      </c>
      <c r="B551" t="s">
        <v>757</v>
      </c>
      <c r="C551" t="s">
        <v>336</v>
      </c>
      <c r="D551" t="s">
        <v>337</v>
      </c>
      <c r="E551" s="12" t="str">
        <f t="shared" si="8"/>
        <v>Centro direita</v>
      </c>
    </row>
    <row r="552" spans="1:5" x14ac:dyDescent="0.3">
      <c r="A552" t="s">
        <v>756</v>
      </c>
      <c r="B552" t="s">
        <v>757</v>
      </c>
      <c r="C552" t="s">
        <v>461</v>
      </c>
      <c r="D552" t="s">
        <v>462</v>
      </c>
      <c r="E552" s="12" t="str">
        <f t="shared" si="8"/>
        <v>Centro direita</v>
      </c>
    </row>
    <row r="553" spans="1:5" x14ac:dyDescent="0.3">
      <c r="A553" t="s">
        <v>756</v>
      </c>
      <c r="B553" t="s">
        <v>757</v>
      </c>
      <c r="C553" t="s">
        <v>463</v>
      </c>
      <c r="D553" t="s">
        <v>460</v>
      </c>
      <c r="E553" s="12" t="str">
        <f t="shared" si="8"/>
        <v>Centro direita</v>
      </c>
    </row>
    <row r="554" spans="1:5" x14ac:dyDescent="0.3">
      <c r="A554" t="s">
        <v>756</v>
      </c>
      <c r="B554" t="s">
        <v>757</v>
      </c>
      <c r="C554" t="s">
        <v>414</v>
      </c>
      <c r="D554" t="s">
        <v>415</v>
      </c>
      <c r="E554" s="12" t="str">
        <f t="shared" si="8"/>
        <v>Centro direita</v>
      </c>
    </row>
    <row r="555" spans="1:5" x14ac:dyDescent="0.3">
      <c r="A555" t="s">
        <v>756</v>
      </c>
      <c r="B555" t="s">
        <v>757</v>
      </c>
      <c r="C555" t="s">
        <v>38</v>
      </c>
      <c r="D555" t="s">
        <v>39</v>
      </c>
      <c r="E555" s="12" t="str">
        <f t="shared" si="8"/>
        <v>Centro direita</v>
      </c>
    </row>
    <row r="556" spans="1:5" x14ac:dyDescent="0.3">
      <c r="A556" t="s">
        <v>756</v>
      </c>
      <c r="B556" t="s">
        <v>757</v>
      </c>
      <c r="C556" t="s">
        <v>24</v>
      </c>
      <c r="D556" t="s">
        <v>25</v>
      </c>
      <c r="E556" s="12" t="str">
        <f t="shared" si="8"/>
        <v>Centro direita</v>
      </c>
    </row>
    <row r="557" spans="1:5" x14ac:dyDescent="0.3">
      <c r="A557" t="s">
        <v>756</v>
      </c>
      <c r="B557" t="s">
        <v>757</v>
      </c>
      <c r="C557" t="s">
        <v>26</v>
      </c>
      <c r="D557" t="s">
        <v>27</v>
      </c>
      <c r="E557" s="12" t="str">
        <f t="shared" si="8"/>
        <v>Centro direita</v>
      </c>
    </row>
    <row r="558" spans="1:5" x14ac:dyDescent="0.3">
      <c r="A558" t="s">
        <v>756</v>
      </c>
      <c r="B558" t="s">
        <v>757</v>
      </c>
      <c r="C558" t="s">
        <v>613</v>
      </c>
      <c r="D558" t="s">
        <v>614</v>
      </c>
      <c r="E558" s="12" t="str">
        <f t="shared" si="8"/>
        <v>Centro direita</v>
      </c>
    </row>
    <row r="559" spans="1:5" x14ac:dyDescent="0.3">
      <c r="A559" t="s">
        <v>756</v>
      </c>
      <c r="B559" t="s">
        <v>757</v>
      </c>
      <c r="C559" t="s">
        <v>249</v>
      </c>
      <c r="D559" t="s">
        <v>250</v>
      </c>
      <c r="E559" s="12" t="str">
        <f t="shared" si="8"/>
        <v>Centro direita</v>
      </c>
    </row>
    <row r="560" spans="1:5" x14ac:dyDescent="0.3">
      <c r="A560" t="s">
        <v>756</v>
      </c>
      <c r="B560" t="s">
        <v>757</v>
      </c>
      <c r="C560" t="s">
        <v>251</v>
      </c>
      <c r="D560" t="s">
        <v>252</v>
      </c>
      <c r="E560" s="12" t="str">
        <f t="shared" si="8"/>
        <v>Centro direita</v>
      </c>
    </row>
    <row r="561" spans="1:5" x14ac:dyDescent="0.3">
      <c r="A561" t="s">
        <v>756</v>
      </c>
      <c r="B561" t="s">
        <v>757</v>
      </c>
      <c r="C561" t="s">
        <v>712</v>
      </c>
      <c r="D561" t="s">
        <v>713</v>
      </c>
      <c r="E561" s="12" t="str">
        <f t="shared" si="8"/>
        <v>Centro direita</v>
      </c>
    </row>
    <row r="562" spans="1:5" x14ac:dyDescent="0.3">
      <c r="A562" t="s">
        <v>756</v>
      </c>
      <c r="B562" t="s">
        <v>757</v>
      </c>
      <c r="C562" t="s">
        <v>392</v>
      </c>
      <c r="D562" t="s">
        <v>393</v>
      </c>
      <c r="E562" s="12" t="str">
        <f t="shared" si="8"/>
        <v>Centro direita</v>
      </c>
    </row>
    <row r="563" spans="1:5" x14ac:dyDescent="0.3">
      <c r="A563" t="s">
        <v>756</v>
      </c>
      <c r="B563" t="s">
        <v>757</v>
      </c>
      <c r="C563" t="s">
        <v>349</v>
      </c>
      <c r="D563" t="s">
        <v>350</v>
      </c>
      <c r="E563" s="12" t="str">
        <f t="shared" si="8"/>
        <v>Centro direita</v>
      </c>
    </row>
    <row r="564" spans="1:5" x14ac:dyDescent="0.3">
      <c r="A564" t="s">
        <v>756</v>
      </c>
      <c r="B564" t="s">
        <v>757</v>
      </c>
      <c r="C564" t="s">
        <v>593</v>
      </c>
      <c r="D564" t="s">
        <v>594</v>
      </c>
      <c r="E564" s="12" t="str">
        <f t="shared" si="8"/>
        <v>Centro direita</v>
      </c>
    </row>
    <row r="565" spans="1:5" x14ac:dyDescent="0.3">
      <c r="A565" t="s">
        <v>756</v>
      </c>
      <c r="B565" t="s">
        <v>757</v>
      </c>
      <c r="C565" t="s">
        <v>735</v>
      </c>
      <c r="D565" t="s">
        <v>736</v>
      </c>
      <c r="E565" s="12" t="str">
        <f t="shared" si="8"/>
        <v>Centro direita</v>
      </c>
    </row>
    <row r="566" spans="1:5" x14ac:dyDescent="0.3">
      <c r="A566" t="s">
        <v>756</v>
      </c>
      <c r="B566" t="s">
        <v>757</v>
      </c>
      <c r="C566" t="s">
        <v>764</v>
      </c>
      <c r="D566" t="s">
        <v>765</v>
      </c>
      <c r="E566" s="12" t="str">
        <f t="shared" si="8"/>
        <v>Centro direita</v>
      </c>
    </row>
    <row r="567" spans="1:5" x14ac:dyDescent="0.3">
      <c r="A567" t="s">
        <v>756</v>
      </c>
      <c r="B567" t="s">
        <v>757</v>
      </c>
      <c r="C567" t="s">
        <v>253</v>
      </c>
      <c r="D567" t="s">
        <v>254</v>
      </c>
      <c r="E567" s="12" t="str">
        <f t="shared" si="8"/>
        <v>Centro direita</v>
      </c>
    </row>
    <row r="568" spans="1:5" x14ac:dyDescent="0.3">
      <c r="A568" t="s">
        <v>756</v>
      </c>
      <c r="B568" t="s">
        <v>757</v>
      </c>
      <c r="C568" t="s">
        <v>255</v>
      </c>
      <c r="D568" t="s">
        <v>256</v>
      </c>
      <c r="E568" s="12" t="str">
        <f t="shared" si="8"/>
        <v>Centro direita</v>
      </c>
    </row>
    <row r="569" spans="1:5" x14ac:dyDescent="0.3">
      <c r="A569" t="s">
        <v>756</v>
      </c>
      <c r="B569" t="s">
        <v>757</v>
      </c>
      <c r="C569" t="s">
        <v>607</v>
      </c>
      <c r="D569" t="s">
        <v>608</v>
      </c>
      <c r="E569" s="12" t="str">
        <f t="shared" si="8"/>
        <v>Centro direita</v>
      </c>
    </row>
    <row r="570" spans="1:5" x14ac:dyDescent="0.3">
      <c r="A570" t="s">
        <v>756</v>
      </c>
      <c r="B570" t="s">
        <v>757</v>
      </c>
      <c r="C570" t="s">
        <v>714</v>
      </c>
      <c r="D570" t="s">
        <v>715</v>
      </c>
      <c r="E570" s="12" t="str">
        <f t="shared" si="8"/>
        <v>Centro direita</v>
      </c>
    </row>
    <row r="571" spans="1:5" x14ac:dyDescent="0.3">
      <c r="A571" t="s">
        <v>756</v>
      </c>
      <c r="B571" t="s">
        <v>757</v>
      </c>
      <c r="C571" t="s">
        <v>464</v>
      </c>
      <c r="D571" t="s">
        <v>465</v>
      </c>
      <c r="E571" s="12" t="str">
        <f t="shared" si="8"/>
        <v>Centro direita</v>
      </c>
    </row>
    <row r="572" spans="1:5" x14ac:dyDescent="0.3">
      <c r="A572" t="s">
        <v>756</v>
      </c>
      <c r="B572" t="s">
        <v>757</v>
      </c>
      <c r="C572" t="s">
        <v>72</v>
      </c>
      <c r="D572" t="s">
        <v>73</v>
      </c>
      <c r="E572" s="12" t="str">
        <f t="shared" si="8"/>
        <v>Centro direita</v>
      </c>
    </row>
    <row r="573" spans="1:5" x14ac:dyDescent="0.3">
      <c r="A573" t="s">
        <v>756</v>
      </c>
      <c r="B573" t="s">
        <v>757</v>
      </c>
      <c r="C573" t="s">
        <v>367</v>
      </c>
      <c r="D573" t="s">
        <v>368</v>
      </c>
      <c r="E573" s="12" t="str">
        <f t="shared" si="8"/>
        <v>Centro direita</v>
      </c>
    </row>
    <row r="574" spans="1:5" x14ac:dyDescent="0.3">
      <c r="A574" t="s">
        <v>756</v>
      </c>
      <c r="B574" t="s">
        <v>757</v>
      </c>
      <c r="C574" t="s">
        <v>74</v>
      </c>
      <c r="D574" t="s">
        <v>75</v>
      </c>
      <c r="E574" s="12" t="str">
        <f t="shared" si="8"/>
        <v>Centro direita</v>
      </c>
    </row>
    <row r="575" spans="1:5" x14ac:dyDescent="0.3">
      <c r="A575" t="s">
        <v>756</v>
      </c>
      <c r="B575" t="s">
        <v>757</v>
      </c>
      <c r="C575" t="s">
        <v>629</v>
      </c>
      <c r="D575" t="s">
        <v>630</v>
      </c>
      <c r="E575" s="12" t="str">
        <f t="shared" si="8"/>
        <v>Centro direita</v>
      </c>
    </row>
    <row r="576" spans="1:5" x14ac:dyDescent="0.3">
      <c r="A576" t="s">
        <v>756</v>
      </c>
      <c r="B576" t="s">
        <v>757</v>
      </c>
      <c r="C576" t="s">
        <v>459</v>
      </c>
      <c r="D576" t="s">
        <v>460</v>
      </c>
      <c r="E576" s="12" t="str">
        <f t="shared" si="8"/>
        <v>Centro direita</v>
      </c>
    </row>
    <row r="577" spans="1:5" x14ac:dyDescent="0.3">
      <c r="A577" t="s">
        <v>756</v>
      </c>
      <c r="B577" t="s">
        <v>757</v>
      </c>
      <c r="C577" t="s">
        <v>631</v>
      </c>
      <c r="D577" t="s">
        <v>632</v>
      </c>
      <c r="E577" s="12" t="str">
        <f t="shared" si="8"/>
        <v>Centro direita</v>
      </c>
    </row>
    <row r="578" spans="1:5" x14ac:dyDescent="0.3">
      <c r="A578" t="s">
        <v>756</v>
      </c>
      <c r="B578" t="s">
        <v>757</v>
      </c>
      <c r="C578" t="s">
        <v>100</v>
      </c>
      <c r="D578" t="s">
        <v>756</v>
      </c>
      <c r="E578" s="12" t="str">
        <f t="shared" si="8"/>
        <v>Centro direita</v>
      </c>
    </row>
    <row r="579" spans="1:5" x14ac:dyDescent="0.3">
      <c r="A579" t="s">
        <v>756</v>
      </c>
      <c r="B579" t="s">
        <v>757</v>
      </c>
      <c r="C579" t="s">
        <v>633</v>
      </c>
      <c r="D579" t="s">
        <v>634</v>
      </c>
      <c r="E579" s="12" t="str">
        <f t="shared" ref="E579:E642" si="9">IF(INDEX(K:K,MATCH(A579,I:I,0))&lt;&gt;0,INDEX(K:K,MATCH(A579,I:I,0)),"")</f>
        <v>Centro direita</v>
      </c>
    </row>
    <row r="580" spans="1:5" x14ac:dyDescent="0.3">
      <c r="A580" t="s">
        <v>756</v>
      </c>
      <c r="B580" t="s">
        <v>757</v>
      </c>
      <c r="C580" t="s">
        <v>766</v>
      </c>
      <c r="D580" t="s">
        <v>767</v>
      </c>
      <c r="E580" s="12" t="str">
        <f t="shared" si="9"/>
        <v>Centro direita</v>
      </c>
    </row>
    <row r="581" spans="1:5" x14ac:dyDescent="0.3">
      <c r="A581" t="s">
        <v>756</v>
      </c>
      <c r="B581" t="s">
        <v>757</v>
      </c>
      <c r="C581" t="s">
        <v>448</v>
      </c>
      <c r="D581" t="s">
        <v>449</v>
      </c>
      <c r="E581" s="12" t="str">
        <f t="shared" si="9"/>
        <v>Centro direita</v>
      </c>
    </row>
    <row r="582" spans="1:5" x14ac:dyDescent="0.3">
      <c r="A582" t="s">
        <v>756</v>
      </c>
      <c r="B582" t="s">
        <v>757</v>
      </c>
      <c r="C582" t="s">
        <v>768</v>
      </c>
      <c r="D582" t="s">
        <v>769</v>
      </c>
      <c r="E582" s="12" t="str">
        <f t="shared" si="9"/>
        <v>Centro direita</v>
      </c>
    </row>
    <row r="583" spans="1:5" x14ac:dyDescent="0.3">
      <c r="A583" t="s">
        <v>756</v>
      </c>
      <c r="B583" t="s">
        <v>757</v>
      </c>
      <c r="C583" t="s">
        <v>450</v>
      </c>
      <c r="D583" t="s">
        <v>451</v>
      </c>
      <c r="E583" s="12" t="str">
        <f t="shared" si="9"/>
        <v>Centro direita</v>
      </c>
    </row>
    <row r="584" spans="1:5" x14ac:dyDescent="0.3">
      <c r="A584" t="s">
        <v>756</v>
      </c>
      <c r="B584" t="s">
        <v>757</v>
      </c>
      <c r="C584" t="s">
        <v>361</v>
      </c>
      <c r="D584" t="s">
        <v>362</v>
      </c>
      <c r="E584" s="12" t="str">
        <f t="shared" si="9"/>
        <v>Centro direita</v>
      </c>
    </row>
    <row r="585" spans="1:5" x14ac:dyDescent="0.3">
      <c r="A585" t="s">
        <v>756</v>
      </c>
      <c r="B585" t="s">
        <v>757</v>
      </c>
      <c r="C585" t="s">
        <v>676</v>
      </c>
      <c r="D585" t="s">
        <v>677</v>
      </c>
      <c r="E585" s="12" t="str">
        <f t="shared" si="9"/>
        <v>Centro direita</v>
      </c>
    </row>
    <row r="586" spans="1:5" x14ac:dyDescent="0.3">
      <c r="A586" t="s">
        <v>756</v>
      </c>
      <c r="B586" t="s">
        <v>757</v>
      </c>
      <c r="C586" t="s">
        <v>625</v>
      </c>
      <c r="D586" t="s">
        <v>626</v>
      </c>
      <c r="E586" s="12" t="str">
        <f t="shared" si="9"/>
        <v>Centro direita</v>
      </c>
    </row>
    <row r="587" spans="1:5" x14ac:dyDescent="0.3">
      <c r="A587" t="s">
        <v>756</v>
      </c>
      <c r="B587" t="s">
        <v>757</v>
      </c>
      <c r="C587" t="s">
        <v>60</v>
      </c>
      <c r="D587" t="s">
        <v>61</v>
      </c>
      <c r="E587" s="12" t="str">
        <f t="shared" si="9"/>
        <v>Centro direita</v>
      </c>
    </row>
    <row r="588" spans="1:5" x14ac:dyDescent="0.3">
      <c r="A588" t="s">
        <v>756</v>
      </c>
      <c r="B588" t="s">
        <v>757</v>
      </c>
      <c r="C588" t="s">
        <v>62</v>
      </c>
      <c r="D588" t="s">
        <v>63</v>
      </c>
      <c r="E588" s="12" t="str">
        <f t="shared" si="9"/>
        <v>Centro direita</v>
      </c>
    </row>
    <row r="589" spans="1:5" x14ac:dyDescent="0.3">
      <c r="A589" t="s">
        <v>756</v>
      </c>
      <c r="B589" t="s">
        <v>757</v>
      </c>
      <c r="C589" t="s">
        <v>267</v>
      </c>
      <c r="D589" t="s">
        <v>227</v>
      </c>
      <c r="E589" s="12" t="str">
        <f t="shared" si="9"/>
        <v>Centro direita</v>
      </c>
    </row>
    <row r="590" spans="1:5" x14ac:dyDescent="0.3">
      <c r="A590" t="s">
        <v>756</v>
      </c>
      <c r="B590" t="s">
        <v>757</v>
      </c>
      <c r="C590" t="s">
        <v>196</v>
      </c>
      <c r="D590" t="s">
        <v>197</v>
      </c>
      <c r="E590" s="12" t="str">
        <f t="shared" si="9"/>
        <v>Centro direita</v>
      </c>
    </row>
    <row r="591" spans="1:5" x14ac:dyDescent="0.3">
      <c r="A591" t="s">
        <v>783</v>
      </c>
      <c r="B591" t="s">
        <v>784</v>
      </c>
      <c r="C591" t="s">
        <v>390</v>
      </c>
      <c r="D591" t="s">
        <v>391</v>
      </c>
      <c r="E591" s="12" t="str">
        <f t="shared" si="9"/>
        <v>Esquerda</v>
      </c>
    </row>
    <row r="592" spans="1:5" x14ac:dyDescent="0.3">
      <c r="A592" t="s">
        <v>783</v>
      </c>
      <c r="B592" t="s">
        <v>784</v>
      </c>
      <c r="C592" t="s">
        <v>521</v>
      </c>
      <c r="D592" t="s">
        <v>471</v>
      </c>
      <c r="E592" s="12" t="str">
        <f t="shared" si="9"/>
        <v>Esquerda</v>
      </c>
    </row>
    <row r="593" spans="1:5" x14ac:dyDescent="0.3">
      <c r="A593" t="s">
        <v>783</v>
      </c>
      <c r="B593" t="s">
        <v>784</v>
      </c>
      <c r="C593" t="s">
        <v>286</v>
      </c>
      <c r="D593" t="s">
        <v>287</v>
      </c>
      <c r="E593" s="12" t="str">
        <f t="shared" si="9"/>
        <v>Esquerda</v>
      </c>
    </row>
    <row r="594" spans="1:5" x14ac:dyDescent="0.3">
      <c r="A594" t="s">
        <v>783</v>
      </c>
      <c r="B594" t="s">
        <v>784</v>
      </c>
      <c r="C594" t="s">
        <v>218</v>
      </c>
      <c r="D594" t="s">
        <v>219</v>
      </c>
      <c r="E594" s="12" t="str">
        <f t="shared" si="9"/>
        <v>Esquerda</v>
      </c>
    </row>
    <row r="595" spans="1:5" x14ac:dyDescent="0.3">
      <c r="A595" t="s">
        <v>783</v>
      </c>
      <c r="B595" t="s">
        <v>784</v>
      </c>
      <c r="C595" t="s">
        <v>338</v>
      </c>
      <c r="D595" t="s">
        <v>339</v>
      </c>
      <c r="E595" s="12" t="str">
        <f t="shared" si="9"/>
        <v>Esquerda</v>
      </c>
    </row>
    <row r="596" spans="1:5" x14ac:dyDescent="0.3">
      <c r="A596" t="s">
        <v>783</v>
      </c>
      <c r="B596" t="s">
        <v>784</v>
      </c>
      <c r="C596" t="s">
        <v>572</v>
      </c>
      <c r="D596" t="s">
        <v>573</v>
      </c>
      <c r="E596" s="12" t="str">
        <f t="shared" si="9"/>
        <v>Esquerda</v>
      </c>
    </row>
    <row r="597" spans="1:5" x14ac:dyDescent="0.3">
      <c r="A597" t="s">
        <v>783</v>
      </c>
      <c r="B597" t="s">
        <v>784</v>
      </c>
      <c r="C597" t="s">
        <v>306</v>
      </c>
      <c r="D597" t="s">
        <v>307</v>
      </c>
      <c r="E597" s="12" t="str">
        <f t="shared" si="9"/>
        <v>Esquerda</v>
      </c>
    </row>
    <row r="598" spans="1:5" x14ac:dyDescent="0.3">
      <c r="A598" t="s">
        <v>783</v>
      </c>
      <c r="B598" t="s">
        <v>784</v>
      </c>
      <c r="C598" t="s">
        <v>308</v>
      </c>
      <c r="D598" t="s">
        <v>307</v>
      </c>
      <c r="E598" s="12" t="str">
        <f t="shared" si="9"/>
        <v>Esquerda</v>
      </c>
    </row>
    <row r="599" spans="1:5" x14ac:dyDescent="0.3">
      <c r="A599" t="s">
        <v>783</v>
      </c>
      <c r="B599" t="s">
        <v>784</v>
      </c>
      <c r="C599" t="s">
        <v>28</v>
      </c>
      <c r="D599" t="s">
        <v>29</v>
      </c>
      <c r="E599" s="12" t="str">
        <f t="shared" si="9"/>
        <v>Esquerda</v>
      </c>
    </row>
    <row r="600" spans="1:5" x14ac:dyDescent="0.3">
      <c r="A600" t="s">
        <v>783</v>
      </c>
      <c r="B600" t="s">
        <v>784</v>
      </c>
      <c r="C600" t="s">
        <v>50</v>
      </c>
      <c r="D600" t="s">
        <v>51</v>
      </c>
      <c r="E600" s="12" t="str">
        <f t="shared" si="9"/>
        <v>Esquerda</v>
      </c>
    </row>
    <row r="601" spans="1:5" x14ac:dyDescent="0.3">
      <c r="A601" t="s">
        <v>783</v>
      </c>
      <c r="B601" t="s">
        <v>784</v>
      </c>
      <c r="C601" t="s">
        <v>666</v>
      </c>
      <c r="D601" t="s">
        <v>667</v>
      </c>
      <c r="E601" s="12" t="str">
        <f t="shared" si="9"/>
        <v>Esquerda</v>
      </c>
    </row>
    <row r="602" spans="1:5" x14ac:dyDescent="0.3">
      <c r="A602" t="s">
        <v>783</v>
      </c>
      <c r="B602" t="s">
        <v>784</v>
      </c>
      <c r="C602" t="s">
        <v>546</v>
      </c>
      <c r="D602" t="s">
        <v>547</v>
      </c>
      <c r="E602" s="12" t="str">
        <f t="shared" si="9"/>
        <v>Esquerda</v>
      </c>
    </row>
    <row r="603" spans="1:5" x14ac:dyDescent="0.3">
      <c r="A603" t="s">
        <v>783</v>
      </c>
      <c r="B603" t="s">
        <v>784</v>
      </c>
      <c r="C603" t="s">
        <v>343</v>
      </c>
      <c r="D603" t="s">
        <v>344</v>
      </c>
      <c r="E603" s="12" t="str">
        <f t="shared" si="9"/>
        <v>Esquerda</v>
      </c>
    </row>
    <row r="604" spans="1:5" x14ac:dyDescent="0.3">
      <c r="A604" t="s">
        <v>783</v>
      </c>
      <c r="B604" t="s">
        <v>784</v>
      </c>
      <c r="C604" t="s">
        <v>263</v>
      </c>
      <c r="D604" t="s">
        <v>264</v>
      </c>
      <c r="E604" s="12" t="str">
        <f t="shared" si="9"/>
        <v>Esquerda</v>
      </c>
    </row>
    <row r="605" spans="1:5" x14ac:dyDescent="0.3">
      <c r="A605" t="s">
        <v>783</v>
      </c>
      <c r="B605" t="s">
        <v>784</v>
      </c>
      <c r="C605" t="s">
        <v>444</v>
      </c>
      <c r="D605" t="s">
        <v>445</v>
      </c>
      <c r="E605" s="12" t="str">
        <f t="shared" si="9"/>
        <v>Esquerda</v>
      </c>
    </row>
    <row r="606" spans="1:5" x14ac:dyDescent="0.3">
      <c r="A606" t="s">
        <v>783</v>
      </c>
      <c r="B606" t="s">
        <v>784</v>
      </c>
      <c r="C606" t="s">
        <v>26</v>
      </c>
      <c r="D606" t="s">
        <v>27</v>
      </c>
      <c r="E606" s="12" t="str">
        <f t="shared" si="9"/>
        <v>Esquerda</v>
      </c>
    </row>
    <row r="607" spans="1:5" x14ac:dyDescent="0.3">
      <c r="A607" t="s">
        <v>783</v>
      </c>
      <c r="B607" t="s">
        <v>784</v>
      </c>
      <c r="C607" t="s">
        <v>155</v>
      </c>
      <c r="D607" t="s">
        <v>156</v>
      </c>
      <c r="E607" s="12" t="str">
        <f t="shared" si="9"/>
        <v>Esquerda</v>
      </c>
    </row>
    <row r="608" spans="1:5" x14ac:dyDescent="0.3">
      <c r="A608" t="s">
        <v>783</v>
      </c>
      <c r="B608" t="s">
        <v>784</v>
      </c>
      <c r="C608" t="s">
        <v>42</v>
      </c>
      <c r="D608" t="s">
        <v>43</v>
      </c>
      <c r="E608" s="12" t="str">
        <f t="shared" si="9"/>
        <v>Esquerda</v>
      </c>
    </row>
    <row r="609" spans="1:5" x14ac:dyDescent="0.3">
      <c r="A609" t="s">
        <v>783</v>
      </c>
      <c r="B609" t="s">
        <v>784</v>
      </c>
      <c r="C609" t="s">
        <v>482</v>
      </c>
      <c r="D609" t="s">
        <v>483</v>
      </c>
      <c r="E609" s="12" t="str">
        <f t="shared" si="9"/>
        <v>Esquerda</v>
      </c>
    </row>
    <row r="610" spans="1:5" x14ac:dyDescent="0.3">
      <c r="A610" t="s">
        <v>783</v>
      </c>
      <c r="B610" t="s">
        <v>784</v>
      </c>
      <c r="C610" t="s">
        <v>383</v>
      </c>
      <c r="D610" t="s">
        <v>384</v>
      </c>
      <c r="E610" s="12" t="str">
        <f t="shared" si="9"/>
        <v>Esquerda</v>
      </c>
    </row>
    <row r="611" spans="1:5" x14ac:dyDescent="0.3">
      <c r="A611" t="s">
        <v>783</v>
      </c>
      <c r="B611" t="s">
        <v>784</v>
      </c>
      <c r="C611" t="s">
        <v>392</v>
      </c>
      <c r="D611" t="s">
        <v>393</v>
      </c>
      <c r="E611" s="12" t="str">
        <f t="shared" si="9"/>
        <v>Esquerda</v>
      </c>
    </row>
    <row r="612" spans="1:5" x14ac:dyDescent="0.3">
      <c r="A612" t="s">
        <v>783</v>
      </c>
      <c r="B612" t="s">
        <v>784</v>
      </c>
      <c r="C612" t="s">
        <v>776</v>
      </c>
      <c r="D612" t="s">
        <v>777</v>
      </c>
      <c r="E612" s="12" t="str">
        <f t="shared" si="9"/>
        <v>Esquerda</v>
      </c>
    </row>
    <row r="613" spans="1:5" x14ac:dyDescent="0.3">
      <c r="A613" t="s">
        <v>783</v>
      </c>
      <c r="B613" t="s">
        <v>784</v>
      </c>
      <c r="C613" t="s">
        <v>623</v>
      </c>
      <c r="D613" t="s">
        <v>624</v>
      </c>
      <c r="E613" s="12" t="str">
        <f t="shared" si="9"/>
        <v>Esquerda</v>
      </c>
    </row>
    <row r="614" spans="1:5" x14ac:dyDescent="0.3">
      <c r="A614" t="s">
        <v>783</v>
      </c>
      <c r="B614" t="s">
        <v>784</v>
      </c>
      <c r="C614" t="s">
        <v>174</v>
      </c>
      <c r="D614" t="s">
        <v>156</v>
      </c>
      <c r="E614" s="12" t="str">
        <f t="shared" si="9"/>
        <v>Esquerda</v>
      </c>
    </row>
    <row r="615" spans="1:5" x14ac:dyDescent="0.3">
      <c r="A615" t="s">
        <v>783</v>
      </c>
      <c r="B615" t="s">
        <v>784</v>
      </c>
      <c r="C615" t="s">
        <v>468</v>
      </c>
      <c r="D615" t="s">
        <v>469</v>
      </c>
      <c r="E615" s="12" t="str">
        <f t="shared" si="9"/>
        <v>Esquerda</v>
      </c>
    </row>
    <row r="616" spans="1:5" x14ac:dyDescent="0.3">
      <c r="A616" t="s">
        <v>783</v>
      </c>
      <c r="B616" t="s">
        <v>784</v>
      </c>
      <c r="C616" t="s">
        <v>525</v>
      </c>
      <c r="D616" t="s">
        <v>526</v>
      </c>
      <c r="E616" s="12" t="str">
        <f t="shared" si="9"/>
        <v>Esquerda</v>
      </c>
    </row>
    <row r="617" spans="1:5" x14ac:dyDescent="0.3">
      <c r="A617" t="s">
        <v>783</v>
      </c>
      <c r="B617" t="s">
        <v>784</v>
      </c>
      <c r="C617" t="s">
        <v>98</v>
      </c>
      <c r="D617" t="s">
        <v>99</v>
      </c>
      <c r="E617" s="12" t="str">
        <f t="shared" si="9"/>
        <v>Esquerda</v>
      </c>
    </row>
    <row r="618" spans="1:5" x14ac:dyDescent="0.3">
      <c r="A618" t="s">
        <v>783</v>
      </c>
      <c r="B618" t="s">
        <v>784</v>
      </c>
      <c r="C618" t="s">
        <v>686</v>
      </c>
      <c r="D618" t="s">
        <v>687</v>
      </c>
      <c r="E618" s="12" t="str">
        <f t="shared" si="9"/>
        <v>Esquerda</v>
      </c>
    </row>
    <row r="619" spans="1:5" x14ac:dyDescent="0.3">
      <c r="A619" t="s">
        <v>783</v>
      </c>
      <c r="B619" t="s">
        <v>784</v>
      </c>
      <c r="C619" t="s">
        <v>470</v>
      </c>
      <c r="D619" t="s">
        <v>471</v>
      </c>
      <c r="E619" s="12" t="str">
        <f t="shared" si="9"/>
        <v>Esquerda</v>
      </c>
    </row>
    <row r="620" spans="1:5" x14ac:dyDescent="0.3">
      <c r="A620" t="s">
        <v>783</v>
      </c>
      <c r="B620" t="s">
        <v>784</v>
      </c>
      <c r="C620" t="s">
        <v>100</v>
      </c>
      <c r="D620" t="s">
        <v>783</v>
      </c>
      <c r="E620" s="12" t="str">
        <f t="shared" si="9"/>
        <v>Esquerda</v>
      </c>
    </row>
    <row r="621" spans="1:5" x14ac:dyDescent="0.3">
      <c r="A621" t="s">
        <v>783</v>
      </c>
      <c r="B621" t="s">
        <v>784</v>
      </c>
      <c r="C621" t="s">
        <v>312</v>
      </c>
      <c r="D621" t="s">
        <v>313</v>
      </c>
      <c r="E621" s="12" t="str">
        <f t="shared" si="9"/>
        <v>Esquerda</v>
      </c>
    </row>
    <row r="622" spans="1:5" x14ac:dyDescent="0.3">
      <c r="A622" t="s">
        <v>783</v>
      </c>
      <c r="B622" t="s">
        <v>784</v>
      </c>
      <c r="C622" t="s">
        <v>753</v>
      </c>
      <c r="D622" t="s">
        <v>753</v>
      </c>
      <c r="E622" s="12" t="str">
        <f t="shared" si="9"/>
        <v>Esquerda</v>
      </c>
    </row>
    <row r="623" spans="1:5" x14ac:dyDescent="0.3">
      <c r="A623" t="s">
        <v>783</v>
      </c>
      <c r="B623" t="s">
        <v>784</v>
      </c>
      <c r="C623" t="s">
        <v>780</v>
      </c>
      <c r="D623" t="s">
        <v>777</v>
      </c>
      <c r="E623" s="12" t="str">
        <f t="shared" si="9"/>
        <v>Esquerda</v>
      </c>
    </row>
    <row r="624" spans="1:5" x14ac:dyDescent="0.3">
      <c r="A624" t="s">
        <v>783</v>
      </c>
      <c r="B624" t="s">
        <v>784</v>
      </c>
      <c r="C624" t="s">
        <v>328</v>
      </c>
      <c r="D624" t="s">
        <v>329</v>
      </c>
      <c r="E624" s="12" t="str">
        <f t="shared" si="9"/>
        <v>Esquerda</v>
      </c>
    </row>
    <row r="625" spans="1:5" x14ac:dyDescent="0.3">
      <c r="A625" t="s">
        <v>783</v>
      </c>
      <c r="B625" t="s">
        <v>784</v>
      </c>
      <c r="C625" t="s">
        <v>272</v>
      </c>
      <c r="D625" t="s">
        <v>273</v>
      </c>
      <c r="E625" s="12" t="str">
        <f t="shared" si="9"/>
        <v>Esquerda</v>
      </c>
    </row>
    <row r="626" spans="1:5" x14ac:dyDescent="0.3">
      <c r="A626" t="s">
        <v>783</v>
      </c>
      <c r="B626" t="s">
        <v>784</v>
      </c>
      <c r="C626" t="s">
        <v>198</v>
      </c>
      <c r="D626" t="s">
        <v>199</v>
      </c>
      <c r="E626" s="12" t="str">
        <f t="shared" si="9"/>
        <v>Esquerda</v>
      </c>
    </row>
    <row r="627" spans="1:5" x14ac:dyDescent="0.3">
      <c r="A627" t="s">
        <v>770</v>
      </c>
      <c r="B627" t="s">
        <v>771</v>
      </c>
      <c r="C627" t="s">
        <v>208</v>
      </c>
      <c r="D627" t="s">
        <v>209</v>
      </c>
      <c r="E627" s="12" t="str">
        <f t="shared" si="9"/>
        <v>Esquerda</v>
      </c>
    </row>
    <row r="628" spans="1:5" x14ac:dyDescent="0.3">
      <c r="A628" t="s">
        <v>770</v>
      </c>
      <c r="B628" t="s">
        <v>771</v>
      </c>
      <c r="C628" t="s">
        <v>758</v>
      </c>
      <c r="D628" t="s">
        <v>759</v>
      </c>
      <c r="E628" s="12" t="str">
        <f t="shared" si="9"/>
        <v>Esquerda</v>
      </c>
    </row>
    <row r="629" spans="1:5" x14ac:dyDescent="0.3">
      <c r="A629" t="s">
        <v>770</v>
      </c>
      <c r="B629" t="s">
        <v>771</v>
      </c>
      <c r="C629" t="s">
        <v>76</v>
      </c>
      <c r="D629" t="s">
        <v>77</v>
      </c>
      <c r="E629" s="12" t="str">
        <f t="shared" si="9"/>
        <v>Esquerda</v>
      </c>
    </row>
    <row r="630" spans="1:5" x14ac:dyDescent="0.3">
      <c r="A630" t="s">
        <v>770</v>
      </c>
      <c r="B630" t="s">
        <v>771</v>
      </c>
      <c r="C630" t="s">
        <v>8</v>
      </c>
      <c r="D630" t="s">
        <v>9</v>
      </c>
      <c r="E630" s="12" t="str">
        <f t="shared" si="9"/>
        <v>Esquerda</v>
      </c>
    </row>
    <row r="631" spans="1:5" x14ac:dyDescent="0.3">
      <c r="A631" t="s">
        <v>770</v>
      </c>
      <c r="B631" t="s">
        <v>771</v>
      </c>
      <c r="C631" t="s">
        <v>498</v>
      </c>
      <c r="D631" t="s">
        <v>499</v>
      </c>
      <c r="E631" s="12" t="str">
        <f t="shared" si="9"/>
        <v>Esquerda</v>
      </c>
    </row>
    <row r="632" spans="1:5" x14ac:dyDescent="0.3">
      <c r="A632" t="s">
        <v>770</v>
      </c>
      <c r="B632" t="s">
        <v>771</v>
      </c>
      <c r="C632" t="s">
        <v>214</v>
      </c>
      <c r="D632" t="s">
        <v>215</v>
      </c>
      <c r="E632" s="12" t="str">
        <f t="shared" si="9"/>
        <v>Esquerda</v>
      </c>
    </row>
    <row r="633" spans="1:5" x14ac:dyDescent="0.3">
      <c r="A633" t="s">
        <v>770</v>
      </c>
      <c r="B633" t="s">
        <v>771</v>
      </c>
      <c r="C633" t="s">
        <v>741</v>
      </c>
      <c r="D633" t="s">
        <v>742</v>
      </c>
      <c r="E633" s="12" t="str">
        <f t="shared" si="9"/>
        <v>Esquerda</v>
      </c>
    </row>
    <row r="634" spans="1:5" x14ac:dyDescent="0.3">
      <c r="A634" t="s">
        <v>770</v>
      </c>
      <c r="B634" t="s">
        <v>771</v>
      </c>
      <c r="C634" t="s">
        <v>394</v>
      </c>
      <c r="D634" t="s">
        <v>395</v>
      </c>
      <c r="E634" s="12" t="str">
        <f t="shared" si="9"/>
        <v>Esquerda</v>
      </c>
    </row>
    <row r="635" spans="1:5" x14ac:dyDescent="0.3">
      <c r="A635" t="s">
        <v>770</v>
      </c>
      <c r="B635" t="s">
        <v>771</v>
      </c>
      <c r="C635" t="s">
        <v>10</v>
      </c>
      <c r="D635" t="s">
        <v>11</v>
      </c>
      <c r="E635" s="12" t="str">
        <f t="shared" si="9"/>
        <v>Esquerda</v>
      </c>
    </row>
    <row r="636" spans="1:5" x14ac:dyDescent="0.3">
      <c r="A636" t="s">
        <v>770</v>
      </c>
      <c r="B636" t="s">
        <v>771</v>
      </c>
      <c r="C636" t="s">
        <v>772</v>
      </c>
      <c r="D636" t="s">
        <v>773</v>
      </c>
      <c r="E636" s="12" t="str">
        <f t="shared" si="9"/>
        <v>Esquerda</v>
      </c>
    </row>
    <row r="637" spans="1:5" x14ac:dyDescent="0.3">
      <c r="A637" t="s">
        <v>770</v>
      </c>
      <c r="B637" t="s">
        <v>771</v>
      </c>
      <c r="C637" t="s">
        <v>472</v>
      </c>
      <c r="D637" t="s">
        <v>473</v>
      </c>
      <c r="E637" s="12" t="str">
        <f t="shared" si="9"/>
        <v>Esquerda</v>
      </c>
    </row>
    <row r="638" spans="1:5" x14ac:dyDescent="0.3">
      <c r="A638" t="s">
        <v>770</v>
      </c>
      <c r="B638" t="s">
        <v>771</v>
      </c>
      <c r="C638" t="s">
        <v>538</v>
      </c>
      <c r="D638" t="s">
        <v>539</v>
      </c>
      <c r="E638" s="12" t="str">
        <f t="shared" si="9"/>
        <v>Esquerda</v>
      </c>
    </row>
    <row r="639" spans="1:5" x14ac:dyDescent="0.3">
      <c r="A639" t="s">
        <v>770</v>
      </c>
      <c r="B639" t="s">
        <v>771</v>
      </c>
      <c r="C639" t="s">
        <v>28</v>
      </c>
      <c r="D639" t="s">
        <v>29</v>
      </c>
      <c r="E639" s="12" t="str">
        <f t="shared" si="9"/>
        <v>Esquerda</v>
      </c>
    </row>
    <row r="640" spans="1:5" x14ac:dyDescent="0.3">
      <c r="A640" t="s">
        <v>770</v>
      </c>
      <c r="B640" t="s">
        <v>771</v>
      </c>
      <c r="C640" t="s">
        <v>639</v>
      </c>
      <c r="D640" t="s">
        <v>640</v>
      </c>
      <c r="E640" s="12" t="str">
        <f t="shared" si="9"/>
        <v>Esquerda</v>
      </c>
    </row>
    <row r="641" spans="1:5" x14ac:dyDescent="0.3">
      <c r="A641" t="s">
        <v>770</v>
      </c>
      <c r="B641" t="s">
        <v>771</v>
      </c>
      <c r="C641" t="s">
        <v>159</v>
      </c>
      <c r="D641" t="s">
        <v>160</v>
      </c>
      <c r="E641" s="12" t="str">
        <f t="shared" si="9"/>
        <v>Esquerda</v>
      </c>
    </row>
    <row r="642" spans="1:5" x14ac:dyDescent="0.3">
      <c r="A642" t="s">
        <v>770</v>
      </c>
      <c r="B642" t="s">
        <v>771</v>
      </c>
      <c r="C642" t="s">
        <v>666</v>
      </c>
      <c r="D642" t="s">
        <v>667</v>
      </c>
      <c r="E642" s="12" t="str">
        <f t="shared" si="9"/>
        <v>Esquerda</v>
      </c>
    </row>
    <row r="643" spans="1:5" x14ac:dyDescent="0.3">
      <c r="A643" t="s">
        <v>770</v>
      </c>
      <c r="B643" t="s">
        <v>771</v>
      </c>
      <c r="C643" t="s">
        <v>442</v>
      </c>
      <c r="D643" t="s">
        <v>443</v>
      </c>
      <c r="E643" s="12" t="str">
        <f t="shared" ref="E643:E706" si="10">IF(INDEX(K:K,MATCH(A643,I:I,0))&lt;&gt;0,INDEX(K:K,MATCH(A643,I:I,0)),"")</f>
        <v>Esquerda</v>
      </c>
    </row>
    <row r="644" spans="1:5" x14ac:dyDescent="0.3">
      <c r="A644" t="s">
        <v>770</v>
      </c>
      <c r="B644" t="s">
        <v>771</v>
      </c>
      <c r="C644" t="s">
        <v>408</v>
      </c>
      <c r="D644" t="s">
        <v>409</v>
      </c>
      <c r="E644" s="12" t="str">
        <f t="shared" si="10"/>
        <v>Esquerda</v>
      </c>
    </row>
    <row r="645" spans="1:5" x14ac:dyDescent="0.3">
      <c r="A645" t="s">
        <v>770</v>
      </c>
      <c r="B645" t="s">
        <v>771</v>
      </c>
      <c r="C645" t="s">
        <v>591</v>
      </c>
      <c r="D645" t="s">
        <v>592</v>
      </c>
      <c r="E645" s="12" t="str">
        <f t="shared" si="10"/>
        <v>Esquerda</v>
      </c>
    </row>
    <row r="646" spans="1:5" x14ac:dyDescent="0.3">
      <c r="A646" t="s">
        <v>770</v>
      </c>
      <c r="B646" t="s">
        <v>771</v>
      </c>
      <c r="C646" t="s">
        <v>747</v>
      </c>
      <c r="D646" t="s">
        <v>748</v>
      </c>
      <c r="E646" s="12" t="str">
        <f t="shared" si="10"/>
        <v>Esquerda</v>
      </c>
    </row>
    <row r="647" spans="1:5" x14ac:dyDescent="0.3">
      <c r="A647" t="s">
        <v>770</v>
      </c>
      <c r="B647" t="s">
        <v>771</v>
      </c>
      <c r="C647" t="s">
        <v>34</v>
      </c>
      <c r="D647" t="s">
        <v>35</v>
      </c>
      <c r="E647" s="12" t="str">
        <f t="shared" si="10"/>
        <v>Esquerda</v>
      </c>
    </row>
    <row r="648" spans="1:5" x14ac:dyDescent="0.3">
      <c r="A648" t="s">
        <v>770</v>
      </c>
      <c r="B648" t="s">
        <v>771</v>
      </c>
      <c r="C648" t="s">
        <v>444</v>
      </c>
      <c r="D648" t="s">
        <v>445</v>
      </c>
      <c r="E648" s="12" t="str">
        <f t="shared" si="10"/>
        <v>Esquerda</v>
      </c>
    </row>
    <row r="649" spans="1:5" x14ac:dyDescent="0.3">
      <c r="A649" t="s">
        <v>770</v>
      </c>
      <c r="B649" t="s">
        <v>771</v>
      </c>
      <c r="C649" t="s">
        <v>38</v>
      </c>
      <c r="D649" t="s">
        <v>39</v>
      </c>
      <c r="E649" s="12" t="str">
        <f t="shared" si="10"/>
        <v>Esquerda</v>
      </c>
    </row>
    <row r="650" spans="1:5" x14ac:dyDescent="0.3">
      <c r="A650" t="s">
        <v>770</v>
      </c>
      <c r="B650" t="s">
        <v>771</v>
      </c>
      <c r="C650" t="s">
        <v>36</v>
      </c>
      <c r="D650" t="s">
        <v>37</v>
      </c>
      <c r="E650" s="12" t="str">
        <f t="shared" si="10"/>
        <v>Esquerda</v>
      </c>
    </row>
    <row r="651" spans="1:5" x14ac:dyDescent="0.3">
      <c r="A651" t="s">
        <v>770</v>
      </c>
      <c r="B651" t="s">
        <v>771</v>
      </c>
      <c r="C651" t="s">
        <v>566</v>
      </c>
      <c r="D651" t="s">
        <v>567</v>
      </c>
      <c r="E651" s="12" t="str">
        <f t="shared" si="10"/>
        <v>Esquerda</v>
      </c>
    </row>
    <row r="652" spans="1:5" x14ac:dyDescent="0.3">
      <c r="A652" t="s">
        <v>770</v>
      </c>
      <c r="B652" t="s">
        <v>771</v>
      </c>
      <c r="C652" t="s">
        <v>774</v>
      </c>
      <c r="D652" t="s">
        <v>775</v>
      </c>
      <c r="E652" s="12" t="str">
        <f t="shared" si="10"/>
        <v>Esquerda</v>
      </c>
    </row>
    <row r="653" spans="1:5" x14ac:dyDescent="0.3">
      <c r="A653" t="s">
        <v>770</v>
      </c>
      <c r="B653" t="s">
        <v>771</v>
      </c>
      <c r="C653" t="s">
        <v>92</v>
      </c>
      <c r="D653" t="s">
        <v>93</v>
      </c>
      <c r="E653" s="12" t="str">
        <f t="shared" si="10"/>
        <v>Esquerda</v>
      </c>
    </row>
    <row r="654" spans="1:5" x14ac:dyDescent="0.3">
      <c r="A654" t="s">
        <v>770</v>
      </c>
      <c r="B654" t="s">
        <v>771</v>
      </c>
      <c r="C654" t="s">
        <v>712</v>
      </c>
      <c r="D654" t="s">
        <v>713</v>
      </c>
      <c r="E654" s="12" t="str">
        <f t="shared" si="10"/>
        <v>Esquerda</v>
      </c>
    </row>
    <row r="655" spans="1:5" x14ac:dyDescent="0.3">
      <c r="A655" t="s">
        <v>770</v>
      </c>
      <c r="B655" t="s">
        <v>771</v>
      </c>
      <c r="C655" t="s">
        <v>149</v>
      </c>
      <c r="D655" t="s">
        <v>150</v>
      </c>
      <c r="E655" s="12" t="str">
        <f t="shared" si="10"/>
        <v>Esquerda</v>
      </c>
    </row>
    <row r="656" spans="1:5" x14ac:dyDescent="0.3">
      <c r="A656" t="s">
        <v>770</v>
      </c>
      <c r="B656" t="s">
        <v>771</v>
      </c>
      <c r="C656" t="s">
        <v>776</v>
      </c>
      <c r="D656" t="s">
        <v>777</v>
      </c>
      <c r="E656" s="12" t="str">
        <f t="shared" si="10"/>
        <v>Esquerda</v>
      </c>
    </row>
    <row r="657" spans="1:5" x14ac:dyDescent="0.3">
      <c r="A657" t="s">
        <v>770</v>
      </c>
      <c r="B657" t="s">
        <v>771</v>
      </c>
      <c r="C657" t="s">
        <v>157</v>
      </c>
      <c r="D657" t="s">
        <v>158</v>
      </c>
      <c r="E657" s="12" t="str">
        <f t="shared" si="10"/>
        <v>Esquerda</v>
      </c>
    </row>
    <row r="658" spans="1:5" x14ac:dyDescent="0.3">
      <c r="A658" t="s">
        <v>770</v>
      </c>
      <c r="B658" t="s">
        <v>771</v>
      </c>
      <c r="C658" t="s">
        <v>292</v>
      </c>
      <c r="D658" t="s">
        <v>293</v>
      </c>
      <c r="E658" s="12" t="str">
        <f t="shared" si="10"/>
        <v>Esquerda</v>
      </c>
    </row>
    <row r="659" spans="1:5" x14ac:dyDescent="0.3">
      <c r="A659" t="s">
        <v>770</v>
      </c>
      <c r="B659" t="s">
        <v>771</v>
      </c>
      <c r="C659" t="s">
        <v>96</v>
      </c>
      <c r="D659" t="s">
        <v>97</v>
      </c>
      <c r="E659" s="12" t="str">
        <f t="shared" si="10"/>
        <v>Esquerda</v>
      </c>
    </row>
    <row r="660" spans="1:5" x14ac:dyDescent="0.3">
      <c r="A660" t="s">
        <v>770</v>
      </c>
      <c r="B660" t="s">
        <v>771</v>
      </c>
      <c r="C660" t="s">
        <v>523</v>
      </c>
      <c r="D660" t="s">
        <v>524</v>
      </c>
      <c r="E660" s="12" t="str">
        <f t="shared" si="10"/>
        <v>Esquerda</v>
      </c>
    </row>
    <row r="661" spans="1:5" x14ac:dyDescent="0.3">
      <c r="A661" t="s">
        <v>770</v>
      </c>
      <c r="B661" t="s">
        <v>771</v>
      </c>
      <c r="C661" t="s">
        <v>177</v>
      </c>
      <c r="D661" t="s">
        <v>168</v>
      </c>
      <c r="E661" s="12" t="str">
        <f t="shared" si="10"/>
        <v>Esquerda</v>
      </c>
    </row>
    <row r="662" spans="1:5" x14ac:dyDescent="0.3">
      <c r="A662" t="s">
        <v>770</v>
      </c>
      <c r="B662" t="s">
        <v>771</v>
      </c>
      <c r="C662" t="s">
        <v>178</v>
      </c>
      <c r="D662" t="s">
        <v>179</v>
      </c>
      <c r="E662" s="12" t="str">
        <f t="shared" si="10"/>
        <v>Esquerda</v>
      </c>
    </row>
    <row r="663" spans="1:5" x14ac:dyDescent="0.3">
      <c r="A663" t="s">
        <v>770</v>
      </c>
      <c r="B663" t="s">
        <v>771</v>
      </c>
      <c r="C663" t="s">
        <v>64</v>
      </c>
      <c r="D663" t="s">
        <v>65</v>
      </c>
      <c r="E663" s="12" t="str">
        <f t="shared" si="10"/>
        <v>Esquerda</v>
      </c>
    </row>
    <row r="664" spans="1:5" x14ac:dyDescent="0.3">
      <c r="A664" t="s">
        <v>770</v>
      </c>
      <c r="B664" t="s">
        <v>771</v>
      </c>
      <c r="C664" t="s">
        <v>432</v>
      </c>
      <c r="D664" t="s">
        <v>433</v>
      </c>
      <c r="E664" s="12" t="str">
        <f t="shared" si="10"/>
        <v>Esquerda</v>
      </c>
    </row>
    <row r="665" spans="1:5" x14ac:dyDescent="0.3">
      <c r="A665" t="s">
        <v>770</v>
      </c>
      <c r="B665" t="s">
        <v>771</v>
      </c>
      <c r="C665" t="s">
        <v>778</v>
      </c>
      <c r="D665" t="s">
        <v>779</v>
      </c>
      <c r="E665" s="12" t="str">
        <f t="shared" si="10"/>
        <v>Esquerda</v>
      </c>
    </row>
    <row r="666" spans="1:5" x14ac:dyDescent="0.3">
      <c r="A666" t="s">
        <v>770</v>
      </c>
      <c r="B666" t="s">
        <v>771</v>
      </c>
      <c r="C666" t="s">
        <v>100</v>
      </c>
      <c r="D666" t="s">
        <v>770</v>
      </c>
      <c r="E666" s="12" t="str">
        <f t="shared" si="10"/>
        <v>Esquerda</v>
      </c>
    </row>
    <row r="667" spans="1:5" x14ac:dyDescent="0.3">
      <c r="A667" t="s">
        <v>770</v>
      </c>
      <c r="B667" t="s">
        <v>771</v>
      </c>
      <c r="C667" t="s">
        <v>426</v>
      </c>
      <c r="D667" t="s">
        <v>427</v>
      </c>
      <c r="E667" s="12" t="str">
        <f t="shared" si="10"/>
        <v>Esquerda</v>
      </c>
    </row>
    <row r="668" spans="1:5" x14ac:dyDescent="0.3">
      <c r="A668" t="s">
        <v>770</v>
      </c>
      <c r="B668" t="s">
        <v>771</v>
      </c>
      <c r="C668" t="s">
        <v>377</v>
      </c>
      <c r="D668" t="s">
        <v>378</v>
      </c>
      <c r="E668" s="12" t="str">
        <f t="shared" si="10"/>
        <v>Esquerda</v>
      </c>
    </row>
    <row r="669" spans="1:5" x14ac:dyDescent="0.3">
      <c r="A669" t="s">
        <v>770</v>
      </c>
      <c r="B669" t="s">
        <v>771</v>
      </c>
      <c r="C669" t="s">
        <v>16</v>
      </c>
      <c r="D669" t="s">
        <v>17</v>
      </c>
      <c r="E669" s="12" t="str">
        <f t="shared" si="10"/>
        <v>Esquerda</v>
      </c>
    </row>
    <row r="670" spans="1:5" x14ac:dyDescent="0.3">
      <c r="A670" t="s">
        <v>770</v>
      </c>
      <c r="B670" t="s">
        <v>771</v>
      </c>
      <c r="C670" t="s">
        <v>32</v>
      </c>
      <c r="D670" t="s">
        <v>33</v>
      </c>
      <c r="E670" s="12" t="str">
        <f t="shared" si="10"/>
        <v>Esquerda</v>
      </c>
    </row>
    <row r="671" spans="1:5" x14ac:dyDescent="0.3">
      <c r="A671" t="s">
        <v>770</v>
      </c>
      <c r="B671" t="s">
        <v>771</v>
      </c>
      <c r="C671" t="s">
        <v>753</v>
      </c>
      <c r="D671" t="s">
        <v>753</v>
      </c>
      <c r="E671" s="12" t="str">
        <f t="shared" si="10"/>
        <v>Esquerda</v>
      </c>
    </row>
    <row r="672" spans="1:5" x14ac:dyDescent="0.3">
      <c r="A672" t="s">
        <v>770</v>
      </c>
      <c r="B672" t="s">
        <v>771</v>
      </c>
      <c r="C672" t="s">
        <v>780</v>
      </c>
      <c r="D672" t="s">
        <v>777</v>
      </c>
      <c r="E672" s="12" t="str">
        <f t="shared" si="10"/>
        <v>Esquerda</v>
      </c>
    </row>
    <row r="673" spans="1:5" x14ac:dyDescent="0.3">
      <c r="A673" t="s">
        <v>770</v>
      </c>
      <c r="B673" t="s">
        <v>771</v>
      </c>
      <c r="C673" t="s">
        <v>192</v>
      </c>
      <c r="D673" t="s">
        <v>193</v>
      </c>
      <c r="E673" s="12" t="str">
        <f t="shared" si="10"/>
        <v>Esquerda</v>
      </c>
    </row>
    <row r="674" spans="1:5" x14ac:dyDescent="0.3">
      <c r="A674" t="s">
        <v>770</v>
      </c>
      <c r="B674" t="s">
        <v>771</v>
      </c>
      <c r="C674" t="s">
        <v>194</v>
      </c>
      <c r="D674" t="s">
        <v>195</v>
      </c>
      <c r="E674" s="12" t="str">
        <f t="shared" si="10"/>
        <v>Esquerda</v>
      </c>
    </row>
    <row r="675" spans="1:5" x14ac:dyDescent="0.3">
      <c r="A675" t="s">
        <v>770</v>
      </c>
      <c r="B675" t="s">
        <v>771</v>
      </c>
      <c r="C675" t="s">
        <v>781</v>
      </c>
      <c r="D675" t="s">
        <v>782</v>
      </c>
      <c r="E675" s="12" t="str">
        <f t="shared" si="10"/>
        <v>Esquerda</v>
      </c>
    </row>
    <row r="676" spans="1:5" x14ac:dyDescent="0.3">
      <c r="A676" t="s">
        <v>770</v>
      </c>
      <c r="B676" t="s">
        <v>771</v>
      </c>
      <c r="C676" t="s">
        <v>270</v>
      </c>
      <c r="D676" t="s">
        <v>271</v>
      </c>
      <c r="E676" s="12" t="str">
        <f t="shared" si="10"/>
        <v>Esquerda</v>
      </c>
    </row>
    <row r="677" spans="1:5" x14ac:dyDescent="0.3">
      <c r="A677" t="s">
        <v>857</v>
      </c>
      <c r="B677" t="s">
        <v>858</v>
      </c>
      <c r="C677" t="s">
        <v>6</v>
      </c>
      <c r="D677" t="s">
        <v>7</v>
      </c>
      <c r="E677" s="12" t="str">
        <f t="shared" si="10"/>
        <v>Centro direita</v>
      </c>
    </row>
    <row r="678" spans="1:5" x14ac:dyDescent="0.3">
      <c r="A678" t="s">
        <v>857</v>
      </c>
      <c r="B678" t="s">
        <v>858</v>
      </c>
      <c r="C678" t="s">
        <v>853</v>
      </c>
      <c r="D678" t="s">
        <v>854</v>
      </c>
      <c r="E678" s="12" t="str">
        <f t="shared" si="10"/>
        <v>Centro direita</v>
      </c>
    </row>
    <row r="679" spans="1:5" x14ac:dyDescent="0.3">
      <c r="A679" t="s">
        <v>857</v>
      </c>
      <c r="B679" t="s">
        <v>858</v>
      </c>
      <c r="C679" t="s">
        <v>833</v>
      </c>
      <c r="D679" t="s">
        <v>834</v>
      </c>
      <c r="E679" s="12" t="str">
        <f t="shared" si="10"/>
        <v>Centro direita</v>
      </c>
    </row>
    <row r="680" spans="1:5" x14ac:dyDescent="0.3">
      <c r="A680" t="s">
        <v>857</v>
      </c>
      <c r="B680" t="s">
        <v>858</v>
      </c>
      <c r="C680" t="s">
        <v>394</v>
      </c>
      <c r="D680" t="s">
        <v>395</v>
      </c>
      <c r="E680" s="12" t="str">
        <f t="shared" si="10"/>
        <v>Centro direita</v>
      </c>
    </row>
    <row r="681" spans="1:5" x14ac:dyDescent="0.3">
      <c r="A681" t="s">
        <v>857</v>
      </c>
      <c r="B681" t="s">
        <v>858</v>
      </c>
      <c r="C681" t="s">
        <v>10</v>
      </c>
      <c r="D681" t="s">
        <v>11</v>
      </c>
      <c r="E681" s="12" t="str">
        <f t="shared" si="10"/>
        <v>Centro direita</v>
      </c>
    </row>
    <row r="682" spans="1:5" x14ac:dyDescent="0.3">
      <c r="A682" t="s">
        <v>857</v>
      </c>
      <c r="B682" t="s">
        <v>858</v>
      </c>
      <c r="C682" t="s">
        <v>859</v>
      </c>
      <c r="D682" t="s">
        <v>860</v>
      </c>
      <c r="E682" s="12" t="str">
        <f t="shared" si="10"/>
        <v>Centro direita</v>
      </c>
    </row>
    <row r="683" spans="1:5" x14ac:dyDescent="0.3">
      <c r="A683" t="s">
        <v>857</v>
      </c>
      <c r="B683" t="s">
        <v>858</v>
      </c>
      <c r="C683" t="s">
        <v>214</v>
      </c>
      <c r="D683" t="s">
        <v>215</v>
      </c>
      <c r="E683" s="12" t="str">
        <f t="shared" si="10"/>
        <v>Centro direita</v>
      </c>
    </row>
    <row r="684" spans="1:5" x14ac:dyDescent="0.3">
      <c r="A684" t="s">
        <v>857</v>
      </c>
      <c r="B684" t="s">
        <v>858</v>
      </c>
      <c r="C684" t="s">
        <v>14</v>
      </c>
      <c r="D684" t="s">
        <v>15</v>
      </c>
      <c r="E684" s="12" t="str">
        <f t="shared" si="10"/>
        <v>Centro direita</v>
      </c>
    </row>
    <row r="685" spans="1:5" x14ac:dyDescent="0.3">
      <c r="A685" t="s">
        <v>857</v>
      </c>
      <c r="B685" t="s">
        <v>858</v>
      </c>
      <c r="C685" t="s">
        <v>414</v>
      </c>
      <c r="D685" t="s">
        <v>415</v>
      </c>
      <c r="E685" s="12" t="str">
        <f t="shared" si="10"/>
        <v>Centro direita</v>
      </c>
    </row>
    <row r="686" spans="1:5" x14ac:dyDescent="0.3">
      <c r="A686" t="s">
        <v>857</v>
      </c>
      <c r="B686" t="s">
        <v>858</v>
      </c>
      <c r="C686" t="s">
        <v>829</v>
      </c>
      <c r="D686" t="s">
        <v>830</v>
      </c>
      <c r="E686" s="12" t="str">
        <f t="shared" si="10"/>
        <v>Centro direita</v>
      </c>
    </row>
    <row r="687" spans="1:5" x14ac:dyDescent="0.3">
      <c r="A687" t="s">
        <v>857</v>
      </c>
      <c r="B687" t="s">
        <v>858</v>
      </c>
      <c r="C687" t="s">
        <v>290</v>
      </c>
      <c r="D687" t="s">
        <v>291</v>
      </c>
      <c r="E687" s="12" t="str">
        <f t="shared" si="10"/>
        <v>Centro direita</v>
      </c>
    </row>
    <row r="688" spans="1:5" x14ac:dyDescent="0.3">
      <c r="A688" t="s">
        <v>857</v>
      </c>
      <c r="B688" t="s">
        <v>858</v>
      </c>
      <c r="C688" t="s">
        <v>379</v>
      </c>
      <c r="D688" t="s">
        <v>380</v>
      </c>
      <c r="E688" s="12" t="str">
        <f t="shared" si="10"/>
        <v>Centro direita</v>
      </c>
    </row>
    <row r="689" spans="1:5" x14ac:dyDescent="0.3">
      <c r="A689" t="s">
        <v>857</v>
      </c>
      <c r="B689" t="s">
        <v>858</v>
      </c>
      <c r="C689" t="s">
        <v>404</v>
      </c>
      <c r="D689" t="s">
        <v>405</v>
      </c>
      <c r="E689" s="12" t="str">
        <f t="shared" si="10"/>
        <v>Centro direita</v>
      </c>
    </row>
    <row r="690" spans="1:5" x14ac:dyDescent="0.3">
      <c r="A690" t="s">
        <v>857</v>
      </c>
      <c r="B690" t="s">
        <v>858</v>
      </c>
      <c r="C690" t="s">
        <v>406</v>
      </c>
      <c r="D690" t="s">
        <v>407</v>
      </c>
      <c r="E690" s="12" t="str">
        <f t="shared" si="10"/>
        <v>Centro direita</v>
      </c>
    </row>
    <row r="691" spans="1:5" x14ac:dyDescent="0.3">
      <c r="A691" t="s">
        <v>857</v>
      </c>
      <c r="B691" t="s">
        <v>858</v>
      </c>
      <c r="C691" t="s">
        <v>224</v>
      </c>
      <c r="D691" t="s">
        <v>225</v>
      </c>
      <c r="E691" s="12" t="str">
        <f t="shared" si="10"/>
        <v>Centro direita</v>
      </c>
    </row>
    <row r="692" spans="1:5" x14ac:dyDescent="0.3">
      <c r="A692" t="s">
        <v>857</v>
      </c>
      <c r="B692" t="s">
        <v>858</v>
      </c>
      <c r="C692" t="s">
        <v>24</v>
      </c>
      <c r="D692" t="s">
        <v>25</v>
      </c>
      <c r="E692" s="12" t="str">
        <f t="shared" si="10"/>
        <v>Centro direita</v>
      </c>
    </row>
    <row r="693" spans="1:5" x14ac:dyDescent="0.3">
      <c r="A693" t="s">
        <v>857</v>
      </c>
      <c r="B693" t="s">
        <v>858</v>
      </c>
      <c r="C693" t="s">
        <v>26</v>
      </c>
      <c r="D693" t="s">
        <v>27</v>
      </c>
      <c r="E693" s="12" t="str">
        <f t="shared" si="10"/>
        <v>Centro direita</v>
      </c>
    </row>
    <row r="694" spans="1:5" x14ac:dyDescent="0.3">
      <c r="A694" t="s">
        <v>857</v>
      </c>
      <c r="B694" t="s">
        <v>858</v>
      </c>
      <c r="C694" t="s">
        <v>861</v>
      </c>
      <c r="D694" t="s">
        <v>862</v>
      </c>
      <c r="E694" s="12" t="str">
        <f t="shared" si="10"/>
        <v>Centro direita</v>
      </c>
    </row>
    <row r="695" spans="1:5" x14ac:dyDescent="0.3">
      <c r="A695" t="s">
        <v>857</v>
      </c>
      <c r="B695" t="s">
        <v>858</v>
      </c>
      <c r="C695" t="s">
        <v>298</v>
      </c>
      <c r="D695" t="s">
        <v>299</v>
      </c>
      <c r="E695" s="12" t="str">
        <f t="shared" si="10"/>
        <v>Centro direita</v>
      </c>
    </row>
    <row r="696" spans="1:5" x14ac:dyDescent="0.3">
      <c r="A696" t="s">
        <v>857</v>
      </c>
      <c r="B696" t="s">
        <v>858</v>
      </c>
      <c r="C696" t="s">
        <v>32</v>
      </c>
      <c r="D696" t="s">
        <v>33</v>
      </c>
      <c r="E696" s="12" t="str">
        <f t="shared" si="10"/>
        <v>Centro direita</v>
      </c>
    </row>
    <row r="697" spans="1:5" x14ac:dyDescent="0.3">
      <c r="A697" t="s">
        <v>857</v>
      </c>
      <c r="B697" t="s">
        <v>858</v>
      </c>
      <c r="C697" t="s">
        <v>794</v>
      </c>
      <c r="D697" t="s">
        <v>795</v>
      </c>
      <c r="E697" s="12" t="str">
        <f t="shared" si="10"/>
        <v>Centro direita</v>
      </c>
    </row>
    <row r="698" spans="1:5" x14ac:dyDescent="0.3">
      <c r="A698" t="s">
        <v>857</v>
      </c>
      <c r="B698" t="s">
        <v>858</v>
      </c>
      <c r="C698" t="s">
        <v>568</v>
      </c>
      <c r="D698" t="s">
        <v>569</v>
      </c>
      <c r="E698" s="12" t="str">
        <f t="shared" si="10"/>
        <v>Centro direita</v>
      </c>
    </row>
    <row r="699" spans="1:5" x14ac:dyDescent="0.3">
      <c r="A699" t="s">
        <v>857</v>
      </c>
      <c r="B699" t="s">
        <v>858</v>
      </c>
      <c r="C699" t="s">
        <v>754</v>
      </c>
      <c r="D699" t="s">
        <v>755</v>
      </c>
      <c r="E699" s="12" t="str">
        <f t="shared" si="10"/>
        <v>Centro direita</v>
      </c>
    </row>
    <row r="700" spans="1:5" x14ac:dyDescent="0.3">
      <c r="A700" t="s">
        <v>857</v>
      </c>
      <c r="B700" t="s">
        <v>858</v>
      </c>
      <c r="C700" t="s">
        <v>270</v>
      </c>
      <c r="D700" t="s">
        <v>271</v>
      </c>
      <c r="E700" s="12" t="str">
        <f t="shared" si="10"/>
        <v>Centro direita</v>
      </c>
    </row>
    <row r="701" spans="1:5" x14ac:dyDescent="0.3">
      <c r="A701" t="s">
        <v>857</v>
      </c>
      <c r="B701" t="s">
        <v>858</v>
      </c>
      <c r="C701" t="s">
        <v>731</v>
      </c>
      <c r="D701" t="s">
        <v>732</v>
      </c>
      <c r="E701" s="12" t="str">
        <f t="shared" si="10"/>
        <v>Centro direita</v>
      </c>
    </row>
    <row r="702" spans="1:5" x14ac:dyDescent="0.3">
      <c r="A702" t="s">
        <v>857</v>
      </c>
      <c r="B702" t="s">
        <v>858</v>
      </c>
      <c r="C702" t="s">
        <v>280</v>
      </c>
      <c r="D702" t="s">
        <v>281</v>
      </c>
      <c r="E702" s="12" t="str">
        <f t="shared" si="10"/>
        <v>Centro direita</v>
      </c>
    </row>
    <row r="703" spans="1:5" x14ac:dyDescent="0.3">
      <c r="A703" t="s">
        <v>857</v>
      </c>
      <c r="B703" t="s">
        <v>858</v>
      </c>
      <c r="C703" t="s">
        <v>745</v>
      </c>
      <c r="D703" t="s">
        <v>746</v>
      </c>
      <c r="E703" s="12" t="str">
        <f t="shared" si="10"/>
        <v>Centro direita</v>
      </c>
    </row>
    <row r="704" spans="1:5" x14ac:dyDescent="0.3">
      <c r="A704" t="s">
        <v>857</v>
      </c>
      <c r="B704" t="s">
        <v>858</v>
      </c>
      <c r="C704" t="s">
        <v>448</v>
      </c>
      <c r="D704" t="s">
        <v>449</v>
      </c>
      <c r="E704" s="12" t="str">
        <f t="shared" si="10"/>
        <v>Centro direita</v>
      </c>
    </row>
    <row r="705" spans="1:5" x14ac:dyDescent="0.3">
      <c r="A705" t="s">
        <v>857</v>
      </c>
      <c r="B705" t="s">
        <v>858</v>
      </c>
      <c r="C705" t="s">
        <v>314</v>
      </c>
      <c r="D705" t="s">
        <v>315</v>
      </c>
      <c r="E705" s="12" t="str">
        <f t="shared" si="10"/>
        <v>Centro direita</v>
      </c>
    </row>
    <row r="706" spans="1:5" x14ac:dyDescent="0.3">
      <c r="A706" t="s">
        <v>857</v>
      </c>
      <c r="B706" t="s">
        <v>858</v>
      </c>
      <c r="C706" t="s">
        <v>766</v>
      </c>
      <c r="D706" t="s">
        <v>767</v>
      </c>
      <c r="E706" s="12" t="str">
        <f t="shared" si="10"/>
        <v>Centro direita</v>
      </c>
    </row>
    <row r="707" spans="1:5" x14ac:dyDescent="0.3">
      <c r="A707" t="s">
        <v>857</v>
      </c>
      <c r="B707" t="s">
        <v>858</v>
      </c>
      <c r="C707" t="s">
        <v>426</v>
      </c>
      <c r="D707" t="s">
        <v>427</v>
      </c>
      <c r="E707" s="12" t="str">
        <f t="shared" ref="E707:E770" si="11">IF(INDEX(K:K,MATCH(A707,I:I,0))&lt;&gt;0,INDEX(K:K,MATCH(A707,I:I,0)),"")</f>
        <v>Centro direita</v>
      </c>
    </row>
    <row r="708" spans="1:5" x14ac:dyDescent="0.3">
      <c r="A708" t="s">
        <v>857</v>
      </c>
      <c r="B708" t="s">
        <v>858</v>
      </c>
      <c r="C708" t="s">
        <v>450</v>
      </c>
      <c r="D708" t="s">
        <v>451</v>
      </c>
      <c r="E708" s="12" t="str">
        <f t="shared" si="11"/>
        <v>Centro direita</v>
      </c>
    </row>
    <row r="709" spans="1:5" x14ac:dyDescent="0.3">
      <c r="A709" t="s">
        <v>857</v>
      </c>
      <c r="B709" t="s">
        <v>858</v>
      </c>
      <c r="C709" t="s">
        <v>64</v>
      </c>
      <c r="D709" t="s">
        <v>65</v>
      </c>
      <c r="E709" s="12" t="str">
        <f t="shared" si="11"/>
        <v>Centro direita</v>
      </c>
    </row>
    <row r="710" spans="1:5" x14ac:dyDescent="0.3">
      <c r="A710" t="s">
        <v>857</v>
      </c>
      <c r="B710" t="s">
        <v>858</v>
      </c>
      <c r="C710" t="s">
        <v>536</v>
      </c>
      <c r="D710" t="s">
        <v>537</v>
      </c>
      <c r="E710" s="12" t="str">
        <f t="shared" si="11"/>
        <v>Centro direita</v>
      </c>
    </row>
    <row r="711" spans="1:5" x14ac:dyDescent="0.3">
      <c r="A711" t="s">
        <v>857</v>
      </c>
      <c r="B711" t="s">
        <v>858</v>
      </c>
      <c r="C711" t="s">
        <v>255</v>
      </c>
      <c r="D711" t="s">
        <v>256</v>
      </c>
      <c r="E711" s="12" t="str">
        <f t="shared" si="11"/>
        <v>Centro direita</v>
      </c>
    </row>
    <row r="712" spans="1:5" x14ac:dyDescent="0.3">
      <c r="A712" t="s">
        <v>857</v>
      </c>
      <c r="B712" t="s">
        <v>858</v>
      </c>
      <c r="C712" t="s">
        <v>727</v>
      </c>
      <c r="D712" t="s">
        <v>728</v>
      </c>
      <c r="E712" s="12" t="str">
        <f t="shared" si="11"/>
        <v>Centro direita</v>
      </c>
    </row>
    <row r="713" spans="1:5" x14ac:dyDescent="0.3">
      <c r="A713" t="s">
        <v>857</v>
      </c>
      <c r="B713" t="s">
        <v>858</v>
      </c>
      <c r="C713" t="s">
        <v>863</v>
      </c>
      <c r="D713" t="s">
        <v>862</v>
      </c>
      <c r="E713" s="12" t="str">
        <f t="shared" si="11"/>
        <v>Centro direita</v>
      </c>
    </row>
    <row r="714" spans="1:5" x14ac:dyDescent="0.3">
      <c r="A714" t="s">
        <v>857</v>
      </c>
      <c r="B714" t="s">
        <v>858</v>
      </c>
      <c r="C714" t="s">
        <v>408</v>
      </c>
      <c r="D714" t="s">
        <v>409</v>
      </c>
      <c r="E714" s="12" t="str">
        <f t="shared" si="11"/>
        <v>Centro direita</v>
      </c>
    </row>
    <row r="715" spans="1:5" x14ac:dyDescent="0.3">
      <c r="A715" t="s">
        <v>857</v>
      </c>
      <c r="B715" t="s">
        <v>858</v>
      </c>
      <c r="C715" t="s">
        <v>72</v>
      </c>
      <c r="D715" t="s">
        <v>73</v>
      </c>
      <c r="E715" s="12" t="str">
        <f t="shared" si="11"/>
        <v>Centro direita</v>
      </c>
    </row>
    <row r="716" spans="1:5" x14ac:dyDescent="0.3">
      <c r="A716" t="s">
        <v>857</v>
      </c>
      <c r="B716" t="s">
        <v>858</v>
      </c>
      <c r="C716" t="s">
        <v>74</v>
      </c>
      <c r="D716" t="s">
        <v>75</v>
      </c>
      <c r="E716" s="12" t="str">
        <f t="shared" si="11"/>
        <v>Centro direita</v>
      </c>
    </row>
    <row r="717" spans="1:5" x14ac:dyDescent="0.3">
      <c r="A717" t="s">
        <v>857</v>
      </c>
      <c r="B717" t="s">
        <v>858</v>
      </c>
      <c r="C717" t="s">
        <v>851</v>
      </c>
      <c r="D717" t="s">
        <v>852</v>
      </c>
      <c r="E717" s="12" t="str">
        <f t="shared" si="11"/>
        <v>Centro direita</v>
      </c>
    </row>
    <row r="718" spans="1:5" x14ac:dyDescent="0.3">
      <c r="A718" t="s">
        <v>857</v>
      </c>
      <c r="B718" t="s">
        <v>858</v>
      </c>
      <c r="C718" t="s">
        <v>532</v>
      </c>
      <c r="D718" t="s">
        <v>533</v>
      </c>
      <c r="E718" s="12" t="str">
        <f t="shared" si="11"/>
        <v>Centro direita</v>
      </c>
    </row>
    <row r="719" spans="1:5" x14ac:dyDescent="0.3">
      <c r="A719" t="s">
        <v>857</v>
      </c>
      <c r="B719" t="s">
        <v>858</v>
      </c>
      <c r="C719" t="s">
        <v>361</v>
      </c>
      <c r="D719" t="s">
        <v>362</v>
      </c>
      <c r="E719" s="12" t="str">
        <f t="shared" si="11"/>
        <v>Centro direita</v>
      </c>
    </row>
    <row r="720" spans="1:5" x14ac:dyDescent="0.3">
      <c r="A720" t="s">
        <v>857</v>
      </c>
      <c r="B720" t="s">
        <v>858</v>
      </c>
      <c r="C720" t="s">
        <v>676</v>
      </c>
      <c r="D720" t="s">
        <v>677</v>
      </c>
      <c r="E720" s="12" t="str">
        <f t="shared" si="11"/>
        <v>Centro direita</v>
      </c>
    </row>
    <row r="721" spans="1:5" x14ac:dyDescent="0.3">
      <c r="A721" t="s">
        <v>857</v>
      </c>
      <c r="B721" t="s">
        <v>858</v>
      </c>
      <c r="C721" t="s">
        <v>513</v>
      </c>
      <c r="D721" t="s">
        <v>514</v>
      </c>
      <c r="E721" s="12" t="str">
        <f t="shared" si="11"/>
        <v>Centro direita</v>
      </c>
    </row>
    <row r="722" spans="1:5" x14ac:dyDescent="0.3">
      <c r="A722" t="s">
        <v>857</v>
      </c>
      <c r="B722" t="s">
        <v>858</v>
      </c>
      <c r="C722" t="s">
        <v>529</v>
      </c>
      <c r="D722" t="s">
        <v>530</v>
      </c>
      <c r="E722" s="12" t="str">
        <f t="shared" si="11"/>
        <v>Centro direita</v>
      </c>
    </row>
    <row r="723" spans="1:5" x14ac:dyDescent="0.3">
      <c r="A723" t="s">
        <v>857</v>
      </c>
      <c r="B723" t="s">
        <v>858</v>
      </c>
      <c r="C723" t="s">
        <v>330</v>
      </c>
      <c r="D723" t="s">
        <v>331</v>
      </c>
      <c r="E723" s="12" t="str">
        <f t="shared" si="11"/>
        <v>Centro direita</v>
      </c>
    </row>
    <row r="724" spans="1:5" x14ac:dyDescent="0.3">
      <c r="A724" t="s">
        <v>857</v>
      </c>
      <c r="B724" t="s">
        <v>858</v>
      </c>
      <c r="C724" t="s">
        <v>249</v>
      </c>
      <c r="D724" t="s">
        <v>250</v>
      </c>
      <c r="E724" s="12" t="str">
        <f t="shared" si="11"/>
        <v>Centro direita</v>
      </c>
    </row>
    <row r="725" spans="1:5" x14ac:dyDescent="0.3">
      <c r="A725" t="s">
        <v>857</v>
      </c>
      <c r="B725" t="s">
        <v>858</v>
      </c>
      <c r="C725" t="s">
        <v>251</v>
      </c>
      <c r="D725" t="s">
        <v>252</v>
      </c>
      <c r="E725" s="12" t="str">
        <f t="shared" si="11"/>
        <v>Centro direita</v>
      </c>
    </row>
    <row r="726" spans="1:5" x14ac:dyDescent="0.3">
      <c r="A726" t="s">
        <v>857</v>
      </c>
      <c r="B726" t="s">
        <v>858</v>
      </c>
      <c r="C726" t="s">
        <v>595</v>
      </c>
      <c r="D726" t="s">
        <v>596</v>
      </c>
      <c r="E726" s="12" t="str">
        <f t="shared" si="11"/>
        <v>Centro direita</v>
      </c>
    </row>
    <row r="727" spans="1:5" x14ac:dyDescent="0.3">
      <c r="A727" t="s">
        <v>857</v>
      </c>
      <c r="B727" t="s">
        <v>858</v>
      </c>
      <c r="C727" t="s">
        <v>662</v>
      </c>
      <c r="D727" t="s">
        <v>663</v>
      </c>
      <c r="E727" s="12" t="str">
        <f t="shared" si="11"/>
        <v>Centro direita</v>
      </c>
    </row>
    <row r="728" spans="1:5" x14ac:dyDescent="0.3">
      <c r="A728" t="s">
        <v>857</v>
      </c>
      <c r="B728" t="s">
        <v>858</v>
      </c>
      <c r="C728" t="s">
        <v>100</v>
      </c>
      <c r="D728" t="s">
        <v>857</v>
      </c>
      <c r="E728" s="12" t="str">
        <f t="shared" si="11"/>
        <v>Centro direita</v>
      </c>
    </row>
    <row r="729" spans="1:5" x14ac:dyDescent="0.3">
      <c r="A729" t="s">
        <v>716</v>
      </c>
      <c r="B729" t="s">
        <v>717</v>
      </c>
      <c r="C729" t="s">
        <v>208</v>
      </c>
      <c r="D729" t="s">
        <v>209</v>
      </c>
      <c r="E729" s="12" t="str">
        <f t="shared" si="11"/>
        <v>Centro direita</v>
      </c>
    </row>
    <row r="730" spans="1:5" x14ac:dyDescent="0.3">
      <c r="A730" t="s">
        <v>716</v>
      </c>
      <c r="B730" t="s">
        <v>717</v>
      </c>
      <c r="C730" t="s">
        <v>210</v>
      </c>
      <c r="D730" t="s">
        <v>211</v>
      </c>
      <c r="E730" s="12" t="str">
        <f t="shared" si="11"/>
        <v>Centro direita</v>
      </c>
    </row>
    <row r="731" spans="1:5" x14ac:dyDescent="0.3">
      <c r="A731" t="s">
        <v>716</v>
      </c>
      <c r="B731" t="s">
        <v>717</v>
      </c>
      <c r="C731" t="s">
        <v>22</v>
      </c>
      <c r="D731" t="s">
        <v>23</v>
      </c>
      <c r="E731" s="12" t="str">
        <f t="shared" si="11"/>
        <v>Centro direita</v>
      </c>
    </row>
    <row r="732" spans="1:5" x14ac:dyDescent="0.3">
      <c r="A732" t="s">
        <v>716</v>
      </c>
      <c r="B732" t="s">
        <v>717</v>
      </c>
      <c r="C732" t="s">
        <v>228</v>
      </c>
      <c r="D732" t="s">
        <v>229</v>
      </c>
      <c r="E732" s="12" t="str">
        <f t="shared" si="11"/>
        <v>Centro direita</v>
      </c>
    </row>
    <row r="733" spans="1:5" x14ac:dyDescent="0.3">
      <c r="A733" t="s">
        <v>716</v>
      </c>
      <c r="B733" t="s">
        <v>717</v>
      </c>
      <c r="C733" t="s">
        <v>235</v>
      </c>
      <c r="D733" t="s">
        <v>236</v>
      </c>
      <c r="E733" s="12" t="str">
        <f t="shared" si="11"/>
        <v>Centro direita</v>
      </c>
    </row>
    <row r="734" spans="1:5" x14ac:dyDescent="0.3">
      <c r="A734" t="s">
        <v>716</v>
      </c>
      <c r="B734" t="s">
        <v>717</v>
      </c>
      <c r="C734" t="s">
        <v>220</v>
      </c>
      <c r="D734" t="s">
        <v>221</v>
      </c>
      <c r="E734" s="12" t="str">
        <f t="shared" si="11"/>
        <v>Centro direita</v>
      </c>
    </row>
    <row r="735" spans="1:5" x14ac:dyDescent="0.3">
      <c r="A735" t="s">
        <v>716</v>
      </c>
      <c r="B735" t="s">
        <v>717</v>
      </c>
      <c r="C735" t="s">
        <v>396</v>
      </c>
      <c r="D735" t="s">
        <v>397</v>
      </c>
      <c r="E735" s="12" t="str">
        <f t="shared" si="11"/>
        <v>Centro direita</v>
      </c>
    </row>
    <row r="736" spans="1:5" x14ac:dyDescent="0.3">
      <c r="A736" t="s">
        <v>716</v>
      </c>
      <c r="B736" t="s">
        <v>717</v>
      </c>
      <c r="C736" t="s">
        <v>398</v>
      </c>
      <c r="D736" t="s">
        <v>399</v>
      </c>
      <c r="E736" s="12" t="str">
        <f t="shared" si="11"/>
        <v>Centro direita</v>
      </c>
    </row>
    <row r="737" spans="1:5" x14ac:dyDescent="0.3">
      <c r="A737" t="s">
        <v>716</v>
      </c>
      <c r="B737" t="s">
        <v>717</v>
      </c>
      <c r="C737" t="s">
        <v>400</v>
      </c>
      <c r="D737" t="s">
        <v>401</v>
      </c>
      <c r="E737" s="12" t="str">
        <f t="shared" si="11"/>
        <v>Centro direita</v>
      </c>
    </row>
    <row r="738" spans="1:5" x14ac:dyDescent="0.3">
      <c r="A738" t="s">
        <v>716</v>
      </c>
      <c r="B738" t="s">
        <v>717</v>
      </c>
      <c r="C738" t="s">
        <v>609</v>
      </c>
      <c r="D738" t="s">
        <v>610</v>
      </c>
      <c r="E738" s="12" t="str">
        <f t="shared" si="11"/>
        <v>Centro direita</v>
      </c>
    </row>
    <row r="739" spans="1:5" x14ac:dyDescent="0.3">
      <c r="A739" t="s">
        <v>716</v>
      </c>
      <c r="B739" t="s">
        <v>717</v>
      </c>
      <c r="C739" t="s">
        <v>718</v>
      </c>
      <c r="D739" t="s">
        <v>719</v>
      </c>
      <c r="E739" s="12" t="str">
        <f t="shared" si="11"/>
        <v>Centro direita</v>
      </c>
    </row>
    <row r="740" spans="1:5" x14ac:dyDescent="0.3">
      <c r="A740" t="s">
        <v>716</v>
      </c>
      <c r="B740" t="s">
        <v>717</v>
      </c>
      <c r="C740" t="s">
        <v>233</v>
      </c>
      <c r="D740" t="s">
        <v>234</v>
      </c>
      <c r="E740" s="12" t="str">
        <f t="shared" si="11"/>
        <v>Centro direita</v>
      </c>
    </row>
    <row r="741" spans="1:5" x14ac:dyDescent="0.3">
      <c r="A741" t="s">
        <v>716</v>
      </c>
      <c r="B741" t="s">
        <v>717</v>
      </c>
      <c r="C741" t="s">
        <v>68</v>
      </c>
      <c r="D741" t="s">
        <v>69</v>
      </c>
      <c r="E741" s="12" t="str">
        <f t="shared" si="11"/>
        <v>Centro direita</v>
      </c>
    </row>
    <row r="742" spans="1:5" x14ac:dyDescent="0.3">
      <c r="A742" t="s">
        <v>716</v>
      </c>
      <c r="B742" t="s">
        <v>717</v>
      </c>
      <c r="C742" t="s">
        <v>224</v>
      </c>
      <c r="D742" t="s">
        <v>225</v>
      </c>
      <c r="E742" s="12" t="str">
        <f t="shared" si="11"/>
        <v>Centro direita</v>
      </c>
    </row>
    <row r="743" spans="1:5" x14ac:dyDescent="0.3">
      <c r="A743" t="s">
        <v>716</v>
      </c>
      <c r="B743" t="s">
        <v>717</v>
      </c>
      <c r="C743" t="s">
        <v>576</v>
      </c>
      <c r="D743" t="s">
        <v>577</v>
      </c>
      <c r="E743" s="12" t="str">
        <f t="shared" si="11"/>
        <v>Centro direita</v>
      </c>
    </row>
    <row r="744" spans="1:5" x14ac:dyDescent="0.3">
      <c r="A744" t="s">
        <v>716</v>
      </c>
      <c r="B744" t="s">
        <v>717</v>
      </c>
      <c r="C744" t="s">
        <v>54</v>
      </c>
      <c r="D744" t="s">
        <v>55</v>
      </c>
      <c r="E744" s="12" t="str">
        <f t="shared" si="11"/>
        <v>Centro direita</v>
      </c>
    </row>
    <row r="745" spans="1:5" x14ac:dyDescent="0.3">
      <c r="A745" t="s">
        <v>716</v>
      </c>
      <c r="B745" t="s">
        <v>717</v>
      </c>
      <c r="C745" t="s">
        <v>720</v>
      </c>
      <c r="D745" t="s">
        <v>234</v>
      </c>
      <c r="E745" s="12" t="str">
        <f t="shared" si="11"/>
        <v>Centro direita</v>
      </c>
    </row>
    <row r="746" spans="1:5" x14ac:dyDescent="0.3">
      <c r="A746" t="s">
        <v>716</v>
      </c>
      <c r="B746" t="s">
        <v>717</v>
      </c>
      <c r="C746" t="s">
        <v>647</v>
      </c>
      <c r="D746" t="s">
        <v>648</v>
      </c>
      <c r="E746" s="12" t="str">
        <f t="shared" si="11"/>
        <v>Centro direita</v>
      </c>
    </row>
    <row r="747" spans="1:5" x14ac:dyDescent="0.3">
      <c r="A747" t="s">
        <v>716</v>
      </c>
      <c r="B747" t="s">
        <v>717</v>
      </c>
      <c r="C747" t="s">
        <v>28</v>
      </c>
      <c r="D747" t="s">
        <v>29</v>
      </c>
      <c r="E747" s="12" t="str">
        <f t="shared" si="11"/>
        <v>Centro direita</v>
      </c>
    </row>
    <row r="748" spans="1:5" x14ac:dyDescent="0.3">
      <c r="A748" t="s">
        <v>716</v>
      </c>
      <c r="B748" t="s">
        <v>717</v>
      </c>
      <c r="C748" t="s">
        <v>414</v>
      </c>
      <c r="D748" t="s">
        <v>415</v>
      </c>
      <c r="E748" s="12" t="str">
        <f t="shared" si="11"/>
        <v>Centro direita</v>
      </c>
    </row>
    <row r="749" spans="1:5" x14ac:dyDescent="0.3">
      <c r="A749" t="s">
        <v>716</v>
      </c>
      <c r="B749" t="s">
        <v>717</v>
      </c>
      <c r="C749" t="s">
        <v>16</v>
      </c>
      <c r="D749" t="s">
        <v>17</v>
      </c>
      <c r="E749" s="12" t="str">
        <f t="shared" si="11"/>
        <v>Centro direita</v>
      </c>
    </row>
    <row r="750" spans="1:5" x14ac:dyDescent="0.3">
      <c r="A750" t="s">
        <v>716</v>
      </c>
      <c r="B750" t="s">
        <v>717</v>
      </c>
      <c r="C750" t="s">
        <v>416</v>
      </c>
      <c r="D750" t="s">
        <v>417</v>
      </c>
      <c r="E750" s="12" t="str">
        <f t="shared" si="11"/>
        <v>Centro direita</v>
      </c>
    </row>
    <row r="751" spans="1:5" x14ac:dyDescent="0.3">
      <c r="A751" t="s">
        <v>716</v>
      </c>
      <c r="B751" t="s">
        <v>717</v>
      </c>
      <c r="C751" t="s">
        <v>721</v>
      </c>
      <c r="D751" t="s">
        <v>722</v>
      </c>
      <c r="E751" s="12" t="str">
        <f t="shared" si="11"/>
        <v>Centro direita</v>
      </c>
    </row>
    <row r="752" spans="1:5" x14ac:dyDescent="0.3">
      <c r="A752" t="s">
        <v>716</v>
      </c>
      <c r="B752" t="s">
        <v>717</v>
      </c>
      <c r="C752" t="s">
        <v>418</v>
      </c>
      <c r="D752" t="s">
        <v>419</v>
      </c>
      <c r="E752" s="12" t="str">
        <f t="shared" si="11"/>
        <v>Centro direita</v>
      </c>
    </row>
    <row r="753" spans="1:5" x14ac:dyDescent="0.3">
      <c r="A753" t="s">
        <v>716</v>
      </c>
      <c r="B753" t="s">
        <v>717</v>
      </c>
      <c r="C753" t="s">
        <v>723</v>
      </c>
      <c r="D753" t="s">
        <v>724</v>
      </c>
      <c r="E753" s="12" t="str">
        <f t="shared" si="11"/>
        <v>Centro direita</v>
      </c>
    </row>
    <row r="754" spans="1:5" x14ac:dyDescent="0.3">
      <c r="A754" t="s">
        <v>716</v>
      </c>
      <c r="B754" t="s">
        <v>717</v>
      </c>
      <c r="C754" t="s">
        <v>725</v>
      </c>
      <c r="D754" t="s">
        <v>726</v>
      </c>
      <c r="E754" s="12" t="str">
        <f t="shared" si="11"/>
        <v>Centro direita</v>
      </c>
    </row>
    <row r="755" spans="1:5" x14ac:dyDescent="0.3">
      <c r="A755" t="s">
        <v>716</v>
      </c>
      <c r="B755" t="s">
        <v>717</v>
      </c>
      <c r="C755" t="s">
        <v>365</v>
      </c>
      <c r="D755" t="s">
        <v>366</v>
      </c>
      <c r="E755" s="12" t="str">
        <f t="shared" si="11"/>
        <v>Centro direita</v>
      </c>
    </row>
    <row r="756" spans="1:5" x14ac:dyDescent="0.3">
      <c r="A756" t="s">
        <v>716</v>
      </c>
      <c r="B756" t="s">
        <v>717</v>
      </c>
      <c r="C756" t="s">
        <v>255</v>
      </c>
      <c r="D756" t="s">
        <v>256</v>
      </c>
      <c r="E756" s="12" t="str">
        <f t="shared" si="11"/>
        <v>Centro direita</v>
      </c>
    </row>
    <row r="757" spans="1:5" x14ac:dyDescent="0.3">
      <c r="A757" t="s">
        <v>716</v>
      </c>
      <c r="B757" t="s">
        <v>717</v>
      </c>
      <c r="C757" t="s">
        <v>727</v>
      </c>
      <c r="D757" t="s">
        <v>728</v>
      </c>
      <c r="E757" s="12" t="str">
        <f t="shared" si="11"/>
        <v>Centro direita</v>
      </c>
    </row>
    <row r="758" spans="1:5" x14ac:dyDescent="0.3">
      <c r="A758" t="s">
        <v>716</v>
      </c>
      <c r="B758" t="s">
        <v>717</v>
      </c>
      <c r="C758" t="s">
        <v>371</v>
      </c>
      <c r="D758" t="s">
        <v>372</v>
      </c>
      <c r="E758" s="12" t="str">
        <f t="shared" si="11"/>
        <v>Centro direita</v>
      </c>
    </row>
    <row r="759" spans="1:5" x14ac:dyDescent="0.3">
      <c r="A759" t="s">
        <v>716</v>
      </c>
      <c r="B759" t="s">
        <v>717</v>
      </c>
      <c r="C759" t="s">
        <v>60</v>
      </c>
      <c r="D759" t="s">
        <v>61</v>
      </c>
      <c r="E759" s="12" t="str">
        <f t="shared" si="11"/>
        <v>Centro direita</v>
      </c>
    </row>
    <row r="760" spans="1:5" x14ac:dyDescent="0.3">
      <c r="A760" t="s">
        <v>716</v>
      </c>
      <c r="B760" t="s">
        <v>717</v>
      </c>
      <c r="C760" t="s">
        <v>62</v>
      </c>
      <c r="D760" t="s">
        <v>63</v>
      </c>
      <c r="E760" s="12" t="str">
        <f t="shared" si="11"/>
        <v>Centro direita</v>
      </c>
    </row>
    <row r="761" spans="1:5" x14ac:dyDescent="0.3">
      <c r="A761" t="s">
        <v>716</v>
      </c>
      <c r="B761" t="s">
        <v>717</v>
      </c>
      <c r="C761" t="s">
        <v>80</v>
      </c>
      <c r="D761" t="s">
        <v>81</v>
      </c>
      <c r="E761" s="12" t="str">
        <f t="shared" si="11"/>
        <v>Centro direita</v>
      </c>
    </row>
    <row r="762" spans="1:5" x14ac:dyDescent="0.3">
      <c r="A762" t="s">
        <v>716</v>
      </c>
      <c r="B762" t="s">
        <v>717</v>
      </c>
      <c r="C762" t="s">
        <v>48</v>
      </c>
      <c r="D762" t="s">
        <v>49</v>
      </c>
      <c r="E762" s="12" t="str">
        <f t="shared" si="11"/>
        <v>Centro direita</v>
      </c>
    </row>
    <row r="763" spans="1:5" x14ac:dyDescent="0.3">
      <c r="A763" t="s">
        <v>716</v>
      </c>
      <c r="B763" t="s">
        <v>717</v>
      </c>
      <c r="C763" t="s">
        <v>633</v>
      </c>
      <c r="D763" t="s">
        <v>634</v>
      </c>
      <c r="E763" s="12" t="str">
        <f t="shared" si="11"/>
        <v>Centro direita</v>
      </c>
    </row>
    <row r="764" spans="1:5" x14ac:dyDescent="0.3">
      <c r="A764" t="s">
        <v>716</v>
      </c>
      <c r="B764" t="s">
        <v>717</v>
      </c>
      <c r="C764" t="s">
        <v>729</v>
      </c>
      <c r="D764" t="s">
        <v>730</v>
      </c>
      <c r="E764" s="12" t="str">
        <f t="shared" si="11"/>
        <v>Centro direita</v>
      </c>
    </row>
    <row r="765" spans="1:5" x14ac:dyDescent="0.3">
      <c r="A765" t="s">
        <v>716</v>
      </c>
      <c r="B765" t="s">
        <v>717</v>
      </c>
      <c r="C765" t="s">
        <v>318</v>
      </c>
      <c r="D765" t="s">
        <v>319</v>
      </c>
      <c r="E765" s="12" t="str">
        <f t="shared" si="11"/>
        <v>Centro direita</v>
      </c>
    </row>
    <row r="766" spans="1:5" x14ac:dyDescent="0.3">
      <c r="A766" t="s">
        <v>716</v>
      </c>
      <c r="B766" t="s">
        <v>717</v>
      </c>
      <c r="C766" t="s">
        <v>320</v>
      </c>
      <c r="D766" t="s">
        <v>321</v>
      </c>
      <c r="E766" s="12" t="str">
        <f t="shared" si="11"/>
        <v>Centro direita</v>
      </c>
    </row>
    <row r="767" spans="1:5" x14ac:dyDescent="0.3">
      <c r="A767" t="s">
        <v>716</v>
      </c>
      <c r="B767" t="s">
        <v>717</v>
      </c>
      <c r="C767" t="s">
        <v>196</v>
      </c>
      <c r="D767" t="s">
        <v>197</v>
      </c>
      <c r="E767" s="12" t="str">
        <f t="shared" si="11"/>
        <v>Centro direita</v>
      </c>
    </row>
    <row r="768" spans="1:5" x14ac:dyDescent="0.3">
      <c r="A768" t="s">
        <v>716</v>
      </c>
      <c r="B768" t="s">
        <v>717</v>
      </c>
      <c r="C768" t="s">
        <v>731</v>
      </c>
      <c r="D768" t="s">
        <v>732</v>
      </c>
      <c r="E768" s="12" t="str">
        <f t="shared" si="11"/>
        <v>Centro direita</v>
      </c>
    </row>
    <row r="769" spans="1:5" x14ac:dyDescent="0.3">
      <c r="A769" t="s">
        <v>716</v>
      </c>
      <c r="B769" t="s">
        <v>717</v>
      </c>
      <c r="C769" t="s">
        <v>733</v>
      </c>
      <c r="D769" t="s">
        <v>734</v>
      </c>
      <c r="E769" s="12" t="str">
        <f t="shared" si="11"/>
        <v>Centro direita</v>
      </c>
    </row>
    <row r="770" spans="1:5" x14ac:dyDescent="0.3">
      <c r="A770" t="s">
        <v>716</v>
      </c>
      <c r="B770" t="s">
        <v>717</v>
      </c>
      <c r="C770" t="s">
        <v>426</v>
      </c>
      <c r="D770" t="s">
        <v>427</v>
      </c>
      <c r="E770" s="12" t="str">
        <f t="shared" si="11"/>
        <v>Centro direita</v>
      </c>
    </row>
    <row r="771" spans="1:5" x14ac:dyDescent="0.3">
      <c r="A771" t="s">
        <v>716</v>
      </c>
      <c r="B771" t="s">
        <v>717</v>
      </c>
      <c r="C771" t="s">
        <v>735</v>
      </c>
      <c r="D771" t="s">
        <v>736</v>
      </c>
      <c r="E771" s="12" t="str">
        <f t="shared" ref="E771:E834" si="12">IF(INDEX(K:K,MATCH(A771,I:I,0))&lt;&gt;0,INDEX(K:K,MATCH(A771,I:I,0)),"")</f>
        <v>Centro direita</v>
      </c>
    </row>
    <row r="772" spans="1:5" x14ac:dyDescent="0.3">
      <c r="A772" t="s">
        <v>716</v>
      </c>
      <c r="B772" t="s">
        <v>717</v>
      </c>
      <c r="C772" t="s">
        <v>100</v>
      </c>
      <c r="D772" t="s">
        <v>716</v>
      </c>
      <c r="E772" s="12" t="str">
        <f t="shared" si="12"/>
        <v>Centro direita</v>
      </c>
    </row>
    <row r="773" spans="1:5" x14ac:dyDescent="0.3">
      <c r="A773" t="s">
        <v>716</v>
      </c>
      <c r="B773" t="s">
        <v>717</v>
      </c>
      <c r="C773" t="s">
        <v>64</v>
      </c>
      <c r="D773" t="s">
        <v>65</v>
      </c>
      <c r="E773" s="12" t="str">
        <f t="shared" si="12"/>
        <v>Centro direita</v>
      </c>
    </row>
    <row r="774" spans="1:5" x14ac:dyDescent="0.3">
      <c r="A774" t="s">
        <v>716</v>
      </c>
      <c r="B774" t="s">
        <v>717</v>
      </c>
      <c r="C774" t="s">
        <v>70</v>
      </c>
      <c r="D774" t="s">
        <v>71</v>
      </c>
      <c r="E774" s="12" t="str">
        <f t="shared" si="12"/>
        <v>Centro direita</v>
      </c>
    </row>
    <row r="775" spans="1:5" x14ac:dyDescent="0.3">
      <c r="A775" t="s">
        <v>716</v>
      </c>
      <c r="B775" t="s">
        <v>717</v>
      </c>
      <c r="C775" t="s">
        <v>274</v>
      </c>
      <c r="D775" t="s">
        <v>275</v>
      </c>
      <c r="E775" s="12" t="str">
        <f t="shared" si="12"/>
        <v>Centro direita</v>
      </c>
    </row>
    <row r="776" spans="1:5" x14ac:dyDescent="0.3">
      <c r="A776" t="s">
        <v>716</v>
      </c>
      <c r="B776" t="s">
        <v>717</v>
      </c>
      <c r="C776" t="s">
        <v>595</v>
      </c>
      <c r="D776" t="s">
        <v>596</v>
      </c>
      <c r="E776" s="12" t="str">
        <f t="shared" si="12"/>
        <v>Centro direita</v>
      </c>
    </row>
    <row r="777" spans="1:5" x14ac:dyDescent="0.3">
      <c r="A777" t="s">
        <v>716</v>
      </c>
      <c r="B777" t="s">
        <v>717</v>
      </c>
      <c r="C777" t="s">
        <v>375</v>
      </c>
      <c r="D777" t="s">
        <v>376</v>
      </c>
      <c r="E777" s="12" t="str">
        <f t="shared" si="12"/>
        <v>Centro direita</v>
      </c>
    </row>
    <row r="778" spans="1:5" x14ac:dyDescent="0.3">
      <c r="A778" t="s">
        <v>716</v>
      </c>
      <c r="B778" t="s">
        <v>717</v>
      </c>
      <c r="C778" t="s">
        <v>662</v>
      </c>
      <c r="D778" t="s">
        <v>663</v>
      </c>
      <c r="E778" s="12" t="str">
        <f t="shared" si="12"/>
        <v>Centro direita</v>
      </c>
    </row>
    <row r="779" spans="1:5" x14ac:dyDescent="0.3">
      <c r="A779" t="s">
        <v>690</v>
      </c>
      <c r="B779" t="s">
        <v>691</v>
      </c>
      <c r="C779" t="s">
        <v>343</v>
      </c>
      <c r="D779" t="s">
        <v>344</v>
      </c>
      <c r="E779" s="12" t="str">
        <f t="shared" si="12"/>
        <v>Centro</v>
      </c>
    </row>
    <row r="780" spans="1:5" x14ac:dyDescent="0.3">
      <c r="A780" t="s">
        <v>690</v>
      </c>
      <c r="B780" t="s">
        <v>691</v>
      </c>
      <c r="C780" t="s">
        <v>263</v>
      </c>
      <c r="D780" t="s">
        <v>264</v>
      </c>
      <c r="E780" s="12" t="str">
        <f t="shared" si="12"/>
        <v>Centro</v>
      </c>
    </row>
    <row r="781" spans="1:5" x14ac:dyDescent="0.3">
      <c r="A781" t="s">
        <v>690</v>
      </c>
      <c r="B781" t="s">
        <v>691</v>
      </c>
      <c r="C781" t="s">
        <v>218</v>
      </c>
      <c r="D781" t="s">
        <v>219</v>
      </c>
      <c r="E781" s="12" t="str">
        <f t="shared" si="12"/>
        <v>Centro</v>
      </c>
    </row>
    <row r="782" spans="1:5" x14ac:dyDescent="0.3">
      <c r="A782" t="s">
        <v>690</v>
      </c>
      <c r="B782" t="s">
        <v>691</v>
      </c>
      <c r="C782" t="s">
        <v>220</v>
      </c>
      <c r="D782" t="s">
        <v>221</v>
      </c>
      <c r="E782" s="12" t="str">
        <f t="shared" si="12"/>
        <v>Centro</v>
      </c>
    </row>
    <row r="783" spans="1:5" x14ac:dyDescent="0.3">
      <c r="A783" t="s">
        <v>690</v>
      </c>
      <c r="B783" t="s">
        <v>691</v>
      </c>
      <c r="C783" t="s">
        <v>692</v>
      </c>
      <c r="D783" t="s">
        <v>693</v>
      </c>
      <c r="E783" s="12" t="str">
        <f t="shared" si="12"/>
        <v>Centro</v>
      </c>
    </row>
    <row r="784" spans="1:5" x14ac:dyDescent="0.3">
      <c r="A784" t="s">
        <v>690</v>
      </c>
      <c r="B784" t="s">
        <v>691</v>
      </c>
      <c r="C784" t="s">
        <v>28</v>
      </c>
      <c r="D784" t="s">
        <v>29</v>
      </c>
      <c r="E784" s="12" t="str">
        <f t="shared" si="12"/>
        <v>Centro</v>
      </c>
    </row>
    <row r="785" spans="1:5" x14ac:dyDescent="0.3">
      <c r="A785" t="s">
        <v>690</v>
      </c>
      <c r="B785" t="s">
        <v>691</v>
      </c>
      <c r="C785" t="s">
        <v>444</v>
      </c>
      <c r="D785" t="s">
        <v>445</v>
      </c>
      <c r="E785" s="12" t="str">
        <f t="shared" si="12"/>
        <v>Centro</v>
      </c>
    </row>
    <row r="786" spans="1:5" x14ac:dyDescent="0.3">
      <c r="A786" t="s">
        <v>690</v>
      </c>
      <c r="B786" t="s">
        <v>691</v>
      </c>
      <c r="C786" t="s">
        <v>222</v>
      </c>
      <c r="D786" t="s">
        <v>223</v>
      </c>
      <c r="E786" s="12" t="str">
        <f t="shared" si="12"/>
        <v>Centro</v>
      </c>
    </row>
    <row r="787" spans="1:5" x14ac:dyDescent="0.3">
      <c r="A787" t="s">
        <v>690</v>
      </c>
      <c r="B787" t="s">
        <v>691</v>
      </c>
      <c r="C787" t="s">
        <v>694</v>
      </c>
      <c r="D787" t="s">
        <v>399</v>
      </c>
      <c r="E787" s="12" t="str">
        <f t="shared" si="12"/>
        <v>Centro</v>
      </c>
    </row>
    <row r="788" spans="1:5" x14ac:dyDescent="0.3">
      <c r="A788" t="s">
        <v>690</v>
      </c>
      <c r="B788" t="s">
        <v>691</v>
      </c>
      <c r="C788" t="s">
        <v>396</v>
      </c>
      <c r="D788" t="s">
        <v>397</v>
      </c>
      <c r="E788" s="12" t="str">
        <f t="shared" si="12"/>
        <v>Centro</v>
      </c>
    </row>
    <row r="789" spans="1:5" x14ac:dyDescent="0.3">
      <c r="A789" t="s">
        <v>690</v>
      </c>
      <c r="B789" t="s">
        <v>691</v>
      </c>
      <c r="C789" t="s">
        <v>398</v>
      </c>
      <c r="D789" t="s">
        <v>399</v>
      </c>
      <c r="E789" s="12" t="str">
        <f t="shared" si="12"/>
        <v>Centro</v>
      </c>
    </row>
    <row r="790" spans="1:5" x14ac:dyDescent="0.3">
      <c r="A790" t="s">
        <v>690</v>
      </c>
      <c r="B790" t="s">
        <v>691</v>
      </c>
      <c r="C790" t="s">
        <v>695</v>
      </c>
      <c r="D790" t="s">
        <v>696</v>
      </c>
      <c r="E790" s="12" t="str">
        <f t="shared" si="12"/>
        <v>Centro</v>
      </c>
    </row>
    <row r="791" spans="1:5" x14ac:dyDescent="0.3">
      <c r="A791" t="s">
        <v>690</v>
      </c>
      <c r="B791" t="s">
        <v>691</v>
      </c>
      <c r="C791" t="s">
        <v>157</v>
      </c>
      <c r="D791" t="s">
        <v>158</v>
      </c>
      <c r="E791" s="12" t="str">
        <f t="shared" si="12"/>
        <v>Centro</v>
      </c>
    </row>
    <row r="792" spans="1:5" x14ac:dyDescent="0.3">
      <c r="A792" t="s">
        <v>690</v>
      </c>
      <c r="B792" t="s">
        <v>691</v>
      </c>
      <c r="C792" t="s">
        <v>463</v>
      </c>
      <c r="D792" t="s">
        <v>460</v>
      </c>
      <c r="E792" s="12" t="str">
        <f t="shared" si="12"/>
        <v>Centro</v>
      </c>
    </row>
    <row r="793" spans="1:5" x14ac:dyDescent="0.3">
      <c r="A793" t="s">
        <v>690</v>
      </c>
      <c r="B793" t="s">
        <v>691</v>
      </c>
      <c r="C793" t="s">
        <v>502</v>
      </c>
      <c r="D793" t="s">
        <v>503</v>
      </c>
      <c r="E793" s="12" t="str">
        <f t="shared" si="12"/>
        <v>Centro</v>
      </c>
    </row>
    <row r="794" spans="1:5" x14ac:dyDescent="0.3">
      <c r="A794" t="s">
        <v>690</v>
      </c>
      <c r="B794" t="s">
        <v>691</v>
      </c>
      <c r="C794" t="s">
        <v>529</v>
      </c>
      <c r="D794" t="s">
        <v>530</v>
      </c>
      <c r="E794" s="12" t="str">
        <f t="shared" si="12"/>
        <v>Centro</v>
      </c>
    </row>
    <row r="795" spans="1:5" x14ac:dyDescent="0.3">
      <c r="A795" t="s">
        <v>690</v>
      </c>
      <c r="B795" t="s">
        <v>691</v>
      </c>
      <c r="C795" t="s">
        <v>697</v>
      </c>
      <c r="D795" t="s">
        <v>698</v>
      </c>
      <c r="E795" s="12" t="str">
        <f t="shared" si="12"/>
        <v>Centro</v>
      </c>
    </row>
    <row r="796" spans="1:5" x14ac:dyDescent="0.3">
      <c r="A796" t="s">
        <v>690</v>
      </c>
      <c r="B796" t="s">
        <v>691</v>
      </c>
      <c r="C796" t="s">
        <v>589</v>
      </c>
      <c r="D796" t="s">
        <v>590</v>
      </c>
      <c r="E796" s="12" t="str">
        <f t="shared" si="12"/>
        <v>Centro</v>
      </c>
    </row>
    <row r="797" spans="1:5" x14ac:dyDescent="0.3">
      <c r="A797" t="s">
        <v>690</v>
      </c>
      <c r="B797" t="s">
        <v>691</v>
      </c>
      <c r="C797" t="s">
        <v>306</v>
      </c>
      <c r="D797" t="s">
        <v>307</v>
      </c>
      <c r="E797" s="12" t="str">
        <f t="shared" si="12"/>
        <v>Centro</v>
      </c>
    </row>
    <row r="798" spans="1:5" x14ac:dyDescent="0.3">
      <c r="A798" t="s">
        <v>690</v>
      </c>
      <c r="B798" t="s">
        <v>691</v>
      </c>
      <c r="C798" t="s">
        <v>308</v>
      </c>
      <c r="D798" t="s">
        <v>307</v>
      </c>
      <c r="E798" s="12" t="str">
        <f t="shared" si="12"/>
        <v>Centro</v>
      </c>
    </row>
    <row r="799" spans="1:5" x14ac:dyDescent="0.3">
      <c r="A799" t="s">
        <v>690</v>
      </c>
      <c r="B799" t="s">
        <v>691</v>
      </c>
      <c r="C799" t="s">
        <v>574</v>
      </c>
      <c r="D799" t="s">
        <v>575</v>
      </c>
      <c r="E799" s="12" t="str">
        <f t="shared" si="12"/>
        <v>Centro</v>
      </c>
    </row>
    <row r="800" spans="1:5" x14ac:dyDescent="0.3">
      <c r="A800" t="s">
        <v>690</v>
      </c>
      <c r="B800" t="s">
        <v>691</v>
      </c>
      <c r="C800" t="s">
        <v>426</v>
      </c>
      <c r="D800" t="s">
        <v>427</v>
      </c>
      <c r="E800" s="12" t="str">
        <f t="shared" si="12"/>
        <v>Centro</v>
      </c>
    </row>
    <row r="801" spans="1:5" x14ac:dyDescent="0.3">
      <c r="A801" t="s">
        <v>690</v>
      </c>
      <c r="B801" t="s">
        <v>691</v>
      </c>
      <c r="C801" t="s">
        <v>699</v>
      </c>
      <c r="D801" t="s">
        <v>700</v>
      </c>
      <c r="E801" s="12" t="str">
        <f t="shared" si="12"/>
        <v>Centro</v>
      </c>
    </row>
    <row r="802" spans="1:5" x14ac:dyDescent="0.3">
      <c r="A802" t="s">
        <v>690</v>
      </c>
      <c r="B802" t="s">
        <v>691</v>
      </c>
      <c r="C802" t="s">
        <v>701</v>
      </c>
      <c r="D802" t="s">
        <v>702</v>
      </c>
      <c r="E802" s="12" t="str">
        <f t="shared" si="12"/>
        <v>Centro</v>
      </c>
    </row>
    <row r="803" spans="1:5" x14ac:dyDescent="0.3">
      <c r="A803" t="s">
        <v>690</v>
      </c>
      <c r="B803" t="s">
        <v>691</v>
      </c>
      <c r="C803" t="s">
        <v>36</v>
      </c>
      <c r="D803" t="s">
        <v>37</v>
      </c>
      <c r="E803" s="12" t="str">
        <f t="shared" si="12"/>
        <v>Centro</v>
      </c>
    </row>
    <row r="804" spans="1:5" x14ac:dyDescent="0.3">
      <c r="A804" t="s">
        <v>690</v>
      </c>
      <c r="B804" t="s">
        <v>691</v>
      </c>
      <c r="C804" t="s">
        <v>239</v>
      </c>
      <c r="D804" t="s">
        <v>452</v>
      </c>
      <c r="E804" s="12" t="str">
        <f t="shared" si="12"/>
        <v>Centro</v>
      </c>
    </row>
    <row r="805" spans="1:5" x14ac:dyDescent="0.3">
      <c r="A805" t="s">
        <v>690</v>
      </c>
      <c r="B805" t="s">
        <v>691</v>
      </c>
      <c r="C805" t="s">
        <v>703</v>
      </c>
      <c r="D805" t="s">
        <v>704</v>
      </c>
      <c r="E805" s="12" t="str">
        <f t="shared" si="12"/>
        <v>Centro</v>
      </c>
    </row>
    <row r="806" spans="1:5" x14ac:dyDescent="0.3">
      <c r="A806" t="s">
        <v>690</v>
      </c>
      <c r="B806" t="s">
        <v>691</v>
      </c>
      <c r="C806" t="s">
        <v>231</v>
      </c>
      <c r="D806" t="s">
        <v>232</v>
      </c>
      <c r="E806" s="12" t="str">
        <f t="shared" si="12"/>
        <v>Centro</v>
      </c>
    </row>
    <row r="807" spans="1:5" x14ac:dyDescent="0.3">
      <c r="A807" t="s">
        <v>690</v>
      </c>
      <c r="B807" t="s">
        <v>691</v>
      </c>
      <c r="C807" t="s">
        <v>296</v>
      </c>
      <c r="D807" t="s">
        <v>297</v>
      </c>
      <c r="E807" s="12" t="str">
        <f t="shared" si="12"/>
        <v>Centro</v>
      </c>
    </row>
    <row r="808" spans="1:5" x14ac:dyDescent="0.3">
      <c r="A808" t="s">
        <v>690</v>
      </c>
      <c r="B808" t="s">
        <v>691</v>
      </c>
      <c r="C808" t="s">
        <v>705</v>
      </c>
      <c r="D808" t="s">
        <v>706</v>
      </c>
      <c r="E808" s="12" t="str">
        <f t="shared" si="12"/>
        <v>Centro</v>
      </c>
    </row>
    <row r="809" spans="1:5" x14ac:dyDescent="0.3">
      <c r="A809" t="s">
        <v>690</v>
      </c>
      <c r="B809" t="s">
        <v>691</v>
      </c>
      <c r="C809" t="s">
        <v>655</v>
      </c>
      <c r="D809" t="s">
        <v>656</v>
      </c>
      <c r="E809" s="12" t="str">
        <f t="shared" si="12"/>
        <v>Centro</v>
      </c>
    </row>
    <row r="810" spans="1:5" x14ac:dyDescent="0.3">
      <c r="A810" t="s">
        <v>690</v>
      </c>
      <c r="B810" t="s">
        <v>691</v>
      </c>
      <c r="C810" t="s">
        <v>707</v>
      </c>
      <c r="D810" t="s">
        <v>708</v>
      </c>
      <c r="E810" s="12" t="str">
        <f t="shared" si="12"/>
        <v>Centro</v>
      </c>
    </row>
    <row r="811" spans="1:5" x14ac:dyDescent="0.3">
      <c r="A811" t="s">
        <v>690</v>
      </c>
      <c r="B811" t="s">
        <v>691</v>
      </c>
      <c r="C811" t="s">
        <v>709</v>
      </c>
      <c r="D811" t="s">
        <v>700</v>
      </c>
      <c r="E811" s="12" t="str">
        <f t="shared" si="12"/>
        <v>Centro</v>
      </c>
    </row>
    <row r="812" spans="1:5" x14ac:dyDescent="0.3">
      <c r="A812" t="s">
        <v>690</v>
      </c>
      <c r="B812" t="s">
        <v>691</v>
      </c>
      <c r="C812" t="s">
        <v>60</v>
      </c>
      <c r="D812" t="s">
        <v>61</v>
      </c>
      <c r="E812" s="12" t="str">
        <f t="shared" si="12"/>
        <v>Centro</v>
      </c>
    </row>
    <row r="813" spans="1:5" x14ac:dyDescent="0.3">
      <c r="A813" t="s">
        <v>690</v>
      </c>
      <c r="B813" t="s">
        <v>691</v>
      </c>
      <c r="C813" t="s">
        <v>62</v>
      </c>
      <c r="D813" t="s">
        <v>63</v>
      </c>
      <c r="E813" s="12" t="str">
        <f t="shared" si="12"/>
        <v>Centro</v>
      </c>
    </row>
    <row r="814" spans="1:5" x14ac:dyDescent="0.3">
      <c r="A814" t="s">
        <v>690</v>
      </c>
      <c r="B814" t="s">
        <v>691</v>
      </c>
      <c r="C814" t="s">
        <v>243</v>
      </c>
      <c r="D814" t="s">
        <v>244</v>
      </c>
      <c r="E814" s="12" t="str">
        <f t="shared" si="12"/>
        <v>Centro</v>
      </c>
    </row>
    <row r="815" spans="1:5" x14ac:dyDescent="0.3">
      <c r="A815" t="s">
        <v>690</v>
      </c>
      <c r="B815" t="s">
        <v>691</v>
      </c>
      <c r="C815" t="s">
        <v>470</v>
      </c>
      <c r="D815" t="s">
        <v>471</v>
      </c>
      <c r="E815" s="12" t="str">
        <f t="shared" si="12"/>
        <v>Centro</v>
      </c>
    </row>
    <row r="816" spans="1:5" x14ac:dyDescent="0.3">
      <c r="A816" t="s">
        <v>690</v>
      </c>
      <c r="B816" t="s">
        <v>691</v>
      </c>
      <c r="C816" t="s">
        <v>253</v>
      </c>
      <c r="D816" t="s">
        <v>254</v>
      </c>
      <c r="E816" s="12" t="str">
        <f t="shared" si="12"/>
        <v>Centro</v>
      </c>
    </row>
    <row r="817" spans="1:5" x14ac:dyDescent="0.3">
      <c r="A817" t="s">
        <v>690</v>
      </c>
      <c r="B817" t="s">
        <v>691</v>
      </c>
      <c r="C817" t="s">
        <v>255</v>
      </c>
      <c r="D817" t="s">
        <v>256</v>
      </c>
      <c r="E817" s="12" t="str">
        <f t="shared" si="12"/>
        <v>Centro</v>
      </c>
    </row>
    <row r="818" spans="1:5" x14ac:dyDescent="0.3">
      <c r="A818" t="s">
        <v>690</v>
      </c>
      <c r="B818" t="s">
        <v>691</v>
      </c>
      <c r="C818" t="s">
        <v>710</v>
      </c>
      <c r="D818" t="s">
        <v>711</v>
      </c>
      <c r="E818" s="12" t="str">
        <f t="shared" si="12"/>
        <v>Centro</v>
      </c>
    </row>
    <row r="819" spans="1:5" x14ac:dyDescent="0.3">
      <c r="A819" t="s">
        <v>690</v>
      </c>
      <c r="B819" t="s">
        <v>691</v>
      </c>
      <c r="C819" t="s">
        <v>712</v>
      </c>
      <c r="D819" t="s">
        <v>713</v>
      </c>
      <c r="E819" s="12" t="str">
        <f t="shared" si="12"/>
        <v>Centro</v>
      </c>
    </row>
    <row r="820" spans="1:5" x14ac:dyDescent="0.3">
      <c r="A820" t="s">
        <v>690</v>
      </c>
      <c r="B820" t="s">
        <v>691</v>
      </c>
      <c r="C820" t="s">
        <v>714</v>
      </c>
      <c r="D820" t="s">
        <v>715</v>
      </c>
      <c r="E820" s="12" t="str">
        <f t="shared" si="12"/>
        <v>Centro</v>
      </c>
    </row>
    <row r="821" spans="1:5" x14ac:dyDescent="0.3">
      <c r="A821" t="s">
        <v>690</v>
      </c>
      <c r="B821" t="s">
        <v>691</v>
      </c>
      <c r="C821" t="s">
        <v>525</v>
      </c>
      <c r="D821" t="s">
        <v>526</v>
      </c>
      <c r="E821" s="12" t="str">
        <f t="shared" si="12"/>
        <v>Centro</v>
      </c>
    </row>
    <row r="822" spans="1:5" x14ac:dyDescent="0.3">
      <c r="A822" t="s">
        <v>690</v>
      </c>
      <c r="B822" t="s">
        <v>691</v>
      </c>
      <c r="C822" t="s">
        <v>100</v>
      </c>
      <c r="D822" t="s">
        <v>690</v>
      </c>
      <c r="E822" s="12" t="str">
        <f t="shared" si="12"/>
        <v>Centro</v>
      </c>
    </row>
    <row r="823" spans="1:5" x14ac:dyDescent="0.3">
      <c r="A823" t="s">
        <v>664</v>
      </c>
      <c r="B823" t="s">
        <v>665</v>
      </c>
      <c r="C823" t="s">
        <v>390</v>
      </c>
      <c r="D823" t="s">
        <v>391</v>
      </c>
      <c r="E823" s="12" t="str">
        <f t="shared" si="12"/>
        <v>Centro direita</v>
      </c>
    </row>
    <row r="824" spans="1:5" x14ac:dyDescent="0.3">
      <c r="A824" t="s">
        <v>664</v>
      </c>
      <c r="B824" t="s">
        <v>665</v>
      </c>
      <c r="C824" t="s">
        <v>263</v>
      </c>
      <c r="D824" t="s">
        <v>264</v>
      </c>
      <c r="E824" s="12" t="str">
        <f t="shared" si="12"/>
        <v>Centro direita</v>
      </c>
    </row>
    <row r="825" spans="1:5" x14ac:dyDescent="0.3">
      <c r="A825" t="s">
        <v>664</v>
      </c>
      <c r="B825" t="s">
        <v>665</v>
      </c>
      <c r="C825" t="s">
        <v>343</v>
      </c>
      <c r="D825" t="s">
        <v>344</v>
      </c>
      <c r="E825" s="12" t="str">
        <f t="shared" si="12"/>
        <v>Centro direita</v>
      </c>
    </row>
    <row r="826" spans="1:5" x14ac:dyDescent="0.3">
      <c r="A826" t="s">
        <v>664</v>
      </c>
      <c r="B826" t="s">
        <v>665</v>
      </c>
      <c r="C826" t="s">
        <v>235</v>
      </c>
      <c r="D826" t="s">
        <v>236</v>
      </c>
      <c r="E826" s="12" t="str">
        <f t="shared" si="12"/>
        <v>Centro direita</v>
      </c>
    </row>
    <row r="827" spans="1:5" x14ac:dyDescent="0.3">
      <c r="A827" t="s">
        <v>664</v>
      </c>
      <c r="B827" t="s">
        <v>665</v>
      </c>
      <c r="C827" t="s">
        <v>218</v>
      </c>
      <c r="D827" t="s">
        <v>219</v>
      </c>
      <c r="E827" s="12" t="str">
        <f t="shared" si="12"/>
        <v>Centro direita</v>
      </c>
    </row>
    <row r="828" spans="1:5" x14ac:dyDescent="0.3">
      <c r="A828" t="s">
        <v>664</v>
      </c>
      <c r="B828" t="s">
        <v>665</v>
      </c>
      <c r="C828" t="s">
        <v>338</v>
      </c>
      <c r="D828" t="s">
        <v>339</v>
      </c>
      <c r="E828" s="12" t="str">
        <f t="shared" si="12"/>
        <v>Centro direita</v>
      </c>
    </row>
    <row r="829" spans="1:5" x14ac:dyDescent="0.3">
      <c r="A829" t="s">
        <v>664</v>
      </c>
      <c r="B829" t="s">
        <v>665</v>
      </c>
      <c r="C829" t="s">
        <v>666</v>
      </c>
      <c r="D829" t="s">
        <v>667</v>
      </c>
      <c r="E829" s="12" t="str">
        <f t="shared" si="12"/>
        <v>Centro direita</v>
      </c>
    </row>
    <row r="830" spans="1:5" x14ac:dyDescent="0.3">
      <c r="A830" t="s">
        <v>664</v>
      </c>
      <c r="B830" t="s">
        <v>665</v>
      </c>
      <c r="C830" t="s">
        <v>668</v>
      </c>
      <c r="D830" t="s">
        <v>669</v>
      </c>
      <c r="E830" s="12" t="str">
        <f t="shared" si="12"/>
        <v>Centro direita</v>
      </c>
    </row>
    <row r="831" spans="1:5" x14ac:dyDescent="0.3">
      <c r="A831" t="s">
        <v>664</v>
      </c>
      <c r="B831" t="s">
        <v>665</v>
      </c>
      <c r="C831" t="s">
        <v>670</v>
      </c>
      <c r="D831" t="s">
        <v>671</v>
      </c>
      <c r="E831" s="12" t="str">
        <f t="shared" si="12"/>
        <v>Centro direita</v>
      </c>
    </row>
    <row r="832" spans="1:5" x14ac:dyDescent="0.3">
      <c r="A832" t="s">
        <v>664</v>
      </c>
      <c r="B832" t="s">
        <v>665</v>
      </c>
      <c r="C832" t="s">
        <v>147</v>
      </c>
      <c r="D832" t="s">
        <v>148</v>
      </c>
      <c r="E832" s="12" t="str">
        <f t="shared" si="12"/>
        <v>Centro direita</v>
      </c>
    </row>
    <row r="833" spans="1:5" x14ac:dyDescent="0.3">
      <c r="A833" t="s">
        <v>664</v>
      </c>
      <c r="B833" t="s">
        <v>665</v>
      </c>
      <c r="C833" t="s">
        <v>192</v>
      </c>
      <c r="D833" t="s">
        <v>193</v>
      </c>
      <c r="E833" s="12" t="str">
        <f t="shared" si="12"/>
        <v>Centro direita</v>
      </c>
    </row>
    <row r="834" spans="1:5" x14ac:dyDescent="0.3">
      <c r="A834" t="s">
        <v>664</v>
      </c>
      <c r="B834" t="s">
        <v>665</v>
      </c>
      <c r="C834" t="s">
        <v>410</v>
      </c>
      <c r="D834" t="s">
        <v>411</v>
      </c>
      <c r="E834" s="12" t="str">
        <f t="shared" si="12"/>
        <v>Centro direita</v>
      </c>
    </row>
    <row r="835" spans="1:5" x14ac:dyDescent="0.3">
      <c r="A835" t="s">
        <v>664</v>
      </c>
      <c r="B835" t="s">
        <v>665</v>
      </c>
      <c r="C835" t="s">
        <v>412</v>
      </c>
      <c r="D835" t="s">
        <v>413</v>
      </c>
      <c r="E835" s="12" t="str">
        <f t="shared" ref="E835:E898" si="13">IF(INDEX(K:K,MATCH(A835,I:I,0))&lt;&gt;0,INDEX(K:K,MATCH(A835,I:I,0)),"")</f>
        <v>Centro direita</v>
      </c>
    </row>
    <row r="836" spans="1:5" x14ac:dyDescent="0.3">
      <c r="A836" t="s">
        <v>664</v>
      </c>
      <c r="B836" t="s">
        <v>665</v>
      </c>
      <c r="C836" t="s">
        <v>340</v>
      </c>
      <c r="D836" t="s">
        <v>341</v>
      </c>
      <c r="E836" s="12" t="str">
        <f t="shared" si="13"/>
        <v>Centro direita</v>
      </c>
    </row>
    <row r="837" spans="1:5" x14ac:dyDescent="0.3">
      <c r="A837" t="s">
        <v>664</v>
      </c>
      <c r="B837" t="s">
        <v>665</v>
      </c>
      <c r="C837" t="s">
        <v>342</v>
      </c>
      <c r="D837" t="s">
        <v>341</v>
      </c>
      <c r="E837" s="12" t="str">
        <f t="shared" si="13"/>
        <v>Centro direita</v>
      </c>
    </row>
    <row r="838" spans="1:5" x14ac:dyDescent="0.3">
      <c r="A838" t="s">
        <v>664</v>
      </c>
      <c r="B838" t="s">
        <v>665</v>
      </c>
      <c r="C838" t="s">
        <v>416</v>
      </c>
      <c r="D838" t="s">
        <v>417</v>
      </c>
      <c r="E838" s="12" t="str">
        <f t="shared" si="13"/>
        <v>Centro direita</v>
      </c>
    </row>
    <row r="839" spans="1:5" x14ac:dyDescent="0.3">
      <c r="A839" t="s">
        <v>664</v>
      </c>
      <c r="B839" t="s">
        <v>665</v>
      </c>
      <c r="C839" t="s">
        <v>672</v>
      </c>
      <c r="D839" t="s">
        <v>673</v>
      </c>
      <c r="E839" s="12" t="str">
        <f t="shared" si="13"/>
        <v>Centro direita</v>
      </c>
    </row>
    <row r="840" spans="1:5" x14ac:dyDescent="0.3">
      <c r="A840" t="s">
        <v>664</v>
      </c>
      <c r="B840" t="s">
        <v>665</v>
      </c>
      <c r="C840" t="s">
        <v>504</v>
      </c>
      <c r="D840" t="s">
        <v>505</v>
      </c>
      <c r="E840" s="12" t="str">
        <f t="shared" si="13"/>
        <v>Centro direita</v>
      </c>
    </row>
    <row r="841" spans="1:5" x14ac:dyDescent="0.3">
      <c r="A841" t="s">
        <v>664</v>
      </c>
      <c r="B841" t="s">
        <v>665</v>
      </c>
      <c r="C841" t="s">
        <v>420</v>
      </c>
      <c r="D841" t="s">
        <v>421</v>
      </c>
      <c r="E841" s="12" t="str">
        <f t="shared" si="13"/>
        <v>Centro direita</v>
      </c>
    </row>
    <row r="842" spans="1:5" x14ac:dyDescent="0.3">
      <c r="A842" t="s">
        <v>664</v>
      </c>
      <c r="B842" t="s">
        <v>665</v>
      </c>
      <c r="C842" t="s">
        <v>247</v>
      </c>
      <c r="D842" t="s">
        <v>248</v>
      </c>
      <c r="E842" s="12" t="str">
        <f t="shared" si="13"/>
        <v>Centro direita</v>
      </c>
    </row>
    <row r="843" spans="1:5" x14ac:dyDescent="0.3">
      <c r="A843" t="s">
        <v>664</v>
      </c>
      <c r="B843" t="s">
        <v>665</v>
      </c>
      <c r="C843" t="s">
        <v>674</v>
      </c>
      <c r="D843" t="s">
        <v>675</v>
      </c>
      <c r="E843" s="12" t="str">
        <f t="shared" si="13"/>
        <v>Centro direita</v>
      </c>
    </row>
    <row r="844" spans="1:5" x14ac:dyDescent="0.3">
      <c r="A844" t="s">
        <v>664</v>
      </c>
      <c r="B844" t="s">
        <v>665</v>
      </c>
      <c r="C844" t="s">
        <v>66</v>
      </c>
      <c r="D844" t="s">
        <v>67</v>
      </c>
      <c r="E844" s="12" t="str">
        <f t="shared" si="13"/>
        <v>Centro direita</v>
      </c>
    </row>
    <row r="845" spans="1:5" x14ac:dyDescent="0.3">
      <c r="A845" t="s">
        <v>664</v>
      </c>
      <c r="B845" t="s">
        <v>665</v>
      </c>
      <c r="C845" t="s">
        <v>587</v>
      </c>
      <c r="D845" t="s">
        <v>588</v>
      </c>
      <c r="E845" s="12" t="str">
        <f t="shared" si="13"/>
        <v>Centro direita</v>
      </c>
    </row>
    <row r="846" spans="1:5" x14ac:dyDescent="0.3">
      <c r="A846" t="s">
        <v>664</v>
      </c>
      <c r="B846" t="s">
        <v>665</v>
      </c>
      <c r="C846" t="s">
        <v>676</v>
      </c>
      <c r="D846" t="s">
        <v>677</v>
      </c>
      <c r="E846" s="12" t="str">
        <f t="shared" si="13"/>
        <v>Centro direita</v>
      </c>
    </row>
    <row r="847" spans="1:5" x14ac:dyDescent="0.3">
      <c r="A847" t="s">
        <v>664</v>
      </c>
      <c r="B847" t="s">
        <v>665</v>
      </c>
      <c r="C847" t="s">
        <v>332</v>
      </c>
      <c r="D847" t="s">
        <v>333</v>
      </c>
      <c r="E847" s="12" t="str">
        <f t="shared" si="13"/>
        <v>Centro direita</v>
      </c>
    </row>
    <row r="848" spans="1:5" x14ac:dyDescent="0.3">
      <c r="A848" t="s">
        <v>664</v>
      </c>
      <c r="B848" t="s">
        <v>665</v>
      </c>
      <c r="C848" t="s">
        <v>678</v>
      </c>
      <c r="D848" t="s">
        <v>679</v>
      </c>
      <c r="E848" s="12" t="str">
        <f t="shared" si="13"/>
        <v>Centro direita</v>
      </c>
    </row>
    <row r="849" spans="1:5" x14ac:dyDescent="0.3">
      <c r="A849" t="s">
        <v>664</v>
      </c>
      <c r="B849" t="s">
        <v>665</v>
      </c>
      <c r="C849" t="s">
        <v>100</v>
      </c>
      <c r="D849" t="s">
        <v>664</v>
      </c>
      <c r="E849" s="12" t="str">
        <f t="shared" si="13"/>
        <v>Centro direita</v>
      </c>
    </row>
    <row r="850" spans="1:5" x14ac:dyDescent="0.3">
      <c r="A850" t="s">
        <v>664</v>
      </c>
      <c r="B850" t="s">
        <v>665</v>
      </c>
      <c r="C850" t="s">
        <v>177</v>
      </c>
      <c r="D850" t="s">
        <v>168</v>
      </c>
      <c r="E850" s="12" t="str">
        <f t="shared" si="13"/>
        <v>Centro direita</v>
      </c>
    </row>
    <row r="851" spans="1:5" x14ac:dyDescent="0.3">
      <c r="A851" t="s">
        <v>664</v>
      </c>
      <c r="B851" t="s">
        <v>665</v>
      </c>
      <c r="C851" t="s">
        <v>178</v>
      </c>
      <c r="D851" t="s">
        <v>179</v>
      </c>
      <c r="E851" s="12" t="str">
        <f t="shared" si="13"/>
        <v>Centro direita</v>
      </c>
    </row>
    <row r="852" spans="1:5" x14ac:dyDescent="0.3">
      <c r="A852" t="s">
        <v>664</v>
      </c>
      <c r="B852" t="s">
        <v>665</v>
      </c>
      <c r="C852" t="s">
        <v>680</v>
      </c>
      <c r="D852" t="s">
        <v>681</v>
      </c>
      <c r="E852" s="12" t="str">
        <f t="shared" si="13"/>
        <v>Centro direita</v>
      </c>
    </row>
    <row r="853" spans="1:5" x14ac:dyDescent="0.3">
      <c r="A853" t="s">
        <v>664</v>
      </c>
      <c r="B853" t="s">
        <v>665</v>
      </c>
      <c r="C853" t="s">
        <v>578</v>
      </c>
      <c r="D853" t="s">
        <v>579</v>
      </c>
      <c r="E853" s="12" t="str">
        <f t="shared" si="13"/>
        <v>Centro direita</v>
      </c>
    </row>
    <row r="854" spans="1:5" x14ac:dyDescent="0.3">
      <c r="A854" t="s">
        <v>664</v>
      </c>
      <c r="B854" t="s">
        <v>665</v>
      </c>
      <c r="C854" t="s">
        <v>682</v>
      </c>
      <c r="D854" t="s">
        <v>683</v>
      </c>
      <c r="E854" s="12" t="str">
        <f t="shared" si="13"/>
        <v>Centro direita</v>
      </c>
    </row>
    <row r="855" spans="1:5" x14ac:dyDescent="0.3">
      <c r="A855" t="s">
        <v>664</v>
      </c>
      <c r="B855" t="s">
        <v>665</v>
      </c>
      <c r="C855" t="s">
        <v>468</v>
      </c>
      <c r="D855" t="s">
        <v>469</v>
      </c>
      <c r="E855" s="12" t="str">
        <f t="shared" si="13"/>
        <v>Centro direita</v>
      </c>
    </row>
    <row r="856" spans="1:5" x14ac:dyDescent="0.3">
      <c r="A856" t="s">
        <v>664</v>
      </c>
      <c r="B856" t="s">
        <v>665</v>
      </c>
      <c r="C856" t="s">
        <v>276</v>
      </c>
      <c r="D856" t="s">
        <v>277</v>
      </c>
      <c r="E856" s="12" t="str">
        <f t="shared" si="13"/>
        <v>Centro direita</v>
      </c>
    </row>
    <row r="857" spans="1:5" x14ac:dyDescent="0.3">
      <c r="A857" t="s">
        <v>664</v>
      </c>
      <c r="B857" t="s">
        <v>665</v>
      </c>
      <c r="C857" t="s">
        <v>243</v>
      </c>
      <c r="D857" t="s">
        <v>244</v>
      </c>
      <c r="E857" s="12" t="str">
        <f t="shared" si="13"/>
        <v>Centro direita</v>
      </c>
    </row>
    <row r="858" spans="1:5" x14ac:dyDescent="0.3">
      <c r="A858" t="s">
        <v>664</v>
      </c>
      <c r="B858" t="s">
        <v>665</v>
      </c>
      <c r="C858" t="s">
        <v>684</v>
      </c>
      <c r="D858" t="s">
        <v>685</v>
      </c>
      <c r="E858" s="12" t="str">
        <f t="shared" si="13"/>
        <v>Centro direita</v>
      </c>
    </row>
    <row r="859" spans="1:5" x14ac:dyDescent="0.3">
      <c r="A859" t="s">
        <v>664</v>
      </c>
      <c r="B859" t="s">
        <v>665</v>
      </c>
      <c r="C859" t="s">
        <v>686</v>
      </c>
      <c r="D859" t="s">
        <v>687</v>
      </c>
      <c r="E859" s="12" t="str">
        <f t="shared" si="13"/>
        <v>Centro direita</v>
      </c>
    </row>
    <row r="860" spans="1:5" x14ac:dyDescent="0.3">
      <c r="A860" t="s">
        <v>664</v>
      </c>
      <c r="B860" t="s">
        <v>665</v>
      </c>
      <c r="C860" t="s">
        <v>688</v>
      </c>
      <c r="D860" t="s">
        <v>689</v>
      </c>
      <c r="E860" s="12" t="str">
        <f t="shared" si="13"/>
        <v>Centro direita</v>
      </c>
    </row>
    <row r="861" spans="1:5" x14ac:dyDescent="0.3">
      <c r="A861" t="s">
        <v>664</v>
      </c>
      <c r="B861" t="s">
        <v>665</v>
      </c>
      <c r="C861" t="s">
        <v>480</v>
      </c>
      <c r="D861" t="s">
        <v>481</v>
      </c>
      <c r="E861" s="12" t="str">
        <f t="shared" si="13"/>
        <v>Centro direita</v>
      </c>
    </row>
    <row r="862" spans="1:5" x14ac:dyDescent="0.3">
      <c r="A862" t="s">
        <v>664</v>
      </c>
      <c r="B862" t="s">
        <v>665</v>
      </c>
      <c r="C862" t="s">
        <v>251</v>
      </c>
      <c r="D862" t="s">
        <v>252</v>
      </c>
      <c r="E862" s="12" t="str">
        <f t="shared" si="13"/>
        <v>Centro direita</v>
      </c>
    </row>
    <row r="863" spans="1:5" x14ac:dyDescent="0.3">
      <c r="A863" t="s">
        <v>664</v>
      </c>
      <c r="B863" t="s">
        <v>665</v>
      </c>
      <c r="C863" t="s">
        <v>90</v>
      </c>
      <c r="D863" t="s">
        <v>91</v>
      </c>
      <c r="E863" s="12" t="str">
        <f t="shared" si="13"/>
        <v>Centro direita</v>
      </c>
    </row>
    <row r="864" spans="1:5" x14ac:dyDescent="0.3">
      <c r="A864" t="s">
        <v>664</v>
      </c>
      <c r="B864" t="s">
        <v>665</v>
      </c>
      <c r="C864" t="s">
        <v>438</v>
      </c>
      <c r="D864" t="s">
        <v>439</v>
      </c>
      <c r="E864" s="12" t="str">
        <f t="shared" si="13"/>
        <v>Centro direita</v>
      </c>
    </row>
    <row r="865" spans="1:5" x14ac:dyDescent="0.3">
      <c r="A865" t="s">
        <v>737</v>
      </c>
      <c r="B865" t="s">
        <v>738</v>
      </c>
      <c r="C865" t="s">
        <v>363</v>
      </c>
      <c r="D865" t="s">
        <v>364</v>
      </c>
      <c r="E865" s="12" t="str">
        <f t="shared" si="13"/>
        <v>Direita</v>
      </c>
    </row>
    <row r="866" spans="1:5" x14ac:dyDescent="0.3">
      <c r="A866" t="s">
        <v>737</v>
      </c>
      <c r="B866" t="s">
        <v>738</v>
      </c>
      <c r="C866" t="s">
        <v>562</v>
      </c>
      <c r="D866" t="s">
        <v>563</v>
      </c>
      <c r="E866" s="12" t="str">
        <f t="shared" si="13"/>
        <v>Direita</v>
      </c>
    </row>
    <row r="867" spans="1:5" x14ac:dyDescent="0.3">
      <c r="A867" t="s">
        <v>737</v>
      </c>
      <c r="B867" t="s">
        <v>738</v>
      </c>
      <c r="C867" t="s">
        <v>739</v>
      </c>
      <c r="D867" t="s">
        <v>740</v>
      </c>
      <c r="E867" s="12" t="str">
        <f t="shared" si="13"/>
        <v>Direita</v>
      </c>
    </row>
    <row r="868" spans="1:5" x14ac:dyDescent="0.3">
      <c r="A868" t="s">
        <v>737</v>
      </c>
      <c r="B868" t="s">
        <v>738</v>
      </c>
      <c r="C868" t="s">
        <v>18</v>
      </c>
      <c r="D868" t="s">
        <v>19</v>
      </c>
      <c r="E868" s="12" t="str">
        <f t="shared" si="13"/>
        <v>Direita</v>
      </c>
    </row>
    <row r="869" spans="1:5" x14ac:dyDescent="0.3">
      <c r="A869" t="s">
        <v>737</v>
      </c>
      <c r="B869" t="s">
        <v>738</v>
      </c>
      <c r="C869" t="s">
        <v>214</v>
      </c>
      <c r="D869" t="s">
        <v>215</v>
      </c>
      <c r="E869" s="12" t="str">
        <f t="shared" si="13"/>
        <v>Direita</v>
      </c>
    </row>
    <row r="870" spans="1:5" x14ac:dyDescent="0.3">
      <c r="A870" t="s">
        <v>737</v>
      </c>
      <c r="B870" t="s">
        <v>738</v>
      </c>
      <c r="C870" t="s">
        <v>741</v>
      </c>
      <c r="D870" t="s">
        <v>742</v>
      </c>
      <c r="E870" s="12" t="str">
        <f t="shared" si="13"/>
        <v>Direita</v>
      </c>
    </row>
    <row r="871" spans="1:5" x14ac:dyDescent="0.3">
      <c r="A871" t="s">
        <v>737</v>
      </c>
      <c r="B871" t="s">
        <v>738</v>
      </c>
      <c r="C871" t="s">
        <v>143</v>
      </c>
      <c r="D871" t="s">
        <v>144</v>
      </c>
      <c r="E871" s="12" t="str">
        <f t="shared" si="13"/>
        <v>Direita</v>
      </c>
    </row>
    <row r="872" spans="1:5" x14ac:dyDescent="0.3">
      <c r="A872" t="s">
        <v>737</v>
      </c>
      <c r="B872" t="s">
        <v>738</v>
      </c>
      <c r="C872" t="s">
        <v>404</v>
      </c>
      <c r="D872" t="s">
        <v>405</v>
      </c>
      <c r="E872" s="12" t="str">
        <f t="shared" si="13"/>
        <v>Direita</v>
      </c>
    </row>
    <row r="873" spans="1:5" x14ac:dyDescent="0.3">
      <c r="A873" t="s">
        <v>737</v>
      </c>
      <c r="B873" t="s">
        <v>738</v>
      </c>
      <c r="C873" t="s">
        <v>406</v>
      </c>
      <c r="D873" t="s">
        <v>407</v>
      </c>
      <c r="E873" s="12" t="str">
        <f t="shared" si="13"/>
        <v>Direita</v>
      </c>
    </row>
    <row r="874" spans="1:5" x14ac:dyDescent="0.3">
      <c r="A874" t="s">
        <v>737</v>
      </c>
      <c r="B874" t="s">
        <v>738</v>
      </c>
      <c r="C874" t="s">
        <v>408</v>
      </c>
      <c r="D874" t="s">
        <v>409</v>
      </c>
      <c r="E874" s="12" t="str">
        <f t="shared" si="13"/>
        <v>Direita</v>
      </c>
    </row>
    <row r="875" spans="1:5" x14ac:dyDescent="0.3">
      <c r="A875" t="s">
        <v>737</v>
      </c>
      <c r="B875" t="s">
        <v>738</v>
      </c>
      <c r="C875" t="s">
        <v>743</v>
      </c>
      <c r="D875" t="s">
        <v>744</v>
      </c>
      <c r="E875" s="12" t="str">
        <f t="shared" si="13"/>
        <v>Direita</v>
      </c>
    </row>
    <row r="876" spans="1:5" x14ac:dyDescent="0.3">
      <c r="A876" t="s">
        <v>737</v>
      </c>
      <c r="B876" t="s">
        <v>738</v>
      </c>
      <c r="C876" t="s">
        <v>147</v>
      </c>
      <c r="D876" t="s">
        <v>148</v>
      </c>
      <c r="E876" s="12" t="str">
        <f t="shared" si="13"/>
        <v>Direita</v>
      </c>
    </row>
    <row r="877" spans="1:5" x14ac:dyDescent="0.3">
      <c r="A877" t="s">
        <v>737</v>
      </c>
      <c r="B877" t="s">
        <v>738</v>
      </c>
      <c r="C877" t="s">
        <v>745</v>
      </c>
      <c r="D877" t="s">
        <v>746</v>
      </c>
      <c r="E877" s="12" t="str">
        <f t="shared" si="13"/>
        <v>Direita</v>
      </c>
    </row>
    <row r="878" spans="1:5" x14ac:dyDescent="0.3">
      <c r="A878" t="s">
        <v>737</v>
      </c>
      <c r="B878" t="s">
        <v>738</v>
      </c>
      <c r="C878" t="s">
        <v>747</v>
      </c>
      <c r="D878" t="s">
        <v>748</v>
      </c>
      <c r="E878" s="12" t="str">
        <f t="shared" si="13"/>
        <v>Direita</v>
      </c>
    </row>
    <row r="879" spans="1:5" x14ac:dyDescent="0.3">
      <c r="A879" t="s">
        <v>737</v>
      </c>
      <c r="B879" t="s">
        <v>738</v>
      </c>
      <c r="C879" t="s">
        <v>560</v>
      </c>
      <c r="D879" t="s">
        <v>561</v>
      </c>
      <c r="E879" s="12" t="str">
        <f t="shared" si="13"/>
        <v>Direita</v>
      </c>
    </row>
    <row r="880" spans="1:5" x14ac:dyDescent="0.3">
      <c r="A880" t="s">
        <v>737</v>
      </c>
      <c r="B880" t="s">
        <v>738</v>
      </c>
      <c r="C880" t="s">
        <v>570</v>
      </c>
      <c r="D880" t="s">
        <v>571</v>
      </c>
      <c r="E880" s="12" t="str">
        <f t="shared" si="13"/>
        <v>Direita</v>
      </c>
    </row>
    <row r="881" spans="1:5" x14ac:dyDescent="0.3">
      <c r="A881" t="s">
        <v>737</v>
      </c>
      <c r="B881" t="s">
        <v>738</v>
      </c>
      <c r="C881" t="s">
        <v>66</v>
      </c>
      <c r="D881" t="s">
        <v>67</v>
      </c>
      <c r="E881" s="12" t="str">
        <f t="shared" si="13"/>
        <v>Direita</v>
      </c>
    </row>
    <row r="882" spans="1:5" x14ac:dyDescent="0.3">
      <c r="A882" t="s">
        <v>737</v>
      </c>
      <c r="B882" t="s">
        <v>738</v>
      </c>
      <c r="C882" t="s">
        <v>749</v>
      </c>
      <c r="D882" t="s">
        <v>750</v>
      </c>
      <c r="E882" s="12" t="str">
        <f t="shared" si="13"/>
        <v>Direita</v>
      </c>
    </row>
    <row r="883" spans="1:5" x14ac:dyDescent="0.3">
      <c r="A883" t="s">
        <v>737</v>
      </c>
      <c r="B883" t="s">
        <v>738</v>
      </c>
      <c r="C883" t="s">
        <v>186</v>
      </c>
      <c r="D883" t="s">
        <v>187</v>
      </c>
      <c r="E883" s="12" t="str">
        <f t="shared" si="13"/>
        <v>Direita</v>
      </c>
    </row>
    <row r="884" spans="1:5" x14ac:dyDescent="0.3">
      <c r="A884" t="s">
        <v>737</v>
      </c>
      <c r="B884" t="s">
        <v>738</v>
      </c>
      <c r="C884" t="s">
        <v>751</v>
      </c>
      <c r="D884" t="s">
        <v>752</v>
      </c>
      <c r="E884" s="12" t="str">
        <f t="shared" si="13"/>
        <v>Direita</v>
      </c>
    </row>
    <row r="885" spans="1:5" x14ac:dyDescent="0.3">
      <c r="A885" t="s">
        <v>737</v>
      </c>
      <c r="B885" t="s">
        <v>738</v>
      </c>
      <c r="C885" t="s">
        <v>753</v>
      </c>
      <c r="D885" t="s">
        <v>753</v>
      </c>
      <c r="E885" s="12" t="str">
        <f t="shared" si="13"/>
        <v>Direita</v>
      </c>
    </row>
    <row r="886" spans="1:5" x14ac:dyDescent="0.3">
      <c r="A886" t="s">
        <v>737</v>
      </c>
      <c r="B886" t="s">
        <v>738</v>
      </c>
      <c r="C886" t="s">
        <v>754</v>
      </c>
      <c r="D886" t="s">
        <v>755</v>
      </c>
      <c r="E886" s="12" t="str">
        <f t="shared" si="13"/>
        <v>Direita</v>
      </c>
    </row>
    <row r="887" spans="1:5" x14ac:dyDescent="0.3">
      <c r="A887" t="s">
        <v>737</v>
      </c>
      <c r="B887" t="s">
        <v>738</v>
      </c>
      <c r="C887" t="s">
        <v>424</v>
      </c>
      <c r="D887" t="s">
        <v>425</v>
      </c>
      <c r="E887" s="12" t="str">
        <f t="shared" si="13"/>
        <v>Direita</v>
      </c>
    </row>
    <row r="888" spans="1:5" x14ac:dyDescent="0.3">
      <c r="A888" t="s">
        <v>737</v>
      </c>
      <c r="B888" t="s">
        <v>738</v>
      </c>
      <c r="C888" t="s">
        <v>680</v>
      </c>
      <c r="D888" t="s">
        <v>681</v>
      </c>
      <c r="E888" s="12" t="str">
        <f t="shared" si="13"/>
        <v>Direita</v>
      </c>
    </row>
    <row r="889" spans="1:5" x14ac:dyDescent="0.3">
      <c r="A889" t="s">
        <v>737</v>
      </c>
      <c r="B889" t="s">
        <v>738</v>
      </c>
      <c r="C889" t="s">
        <v>448</v>
      </c>
      <c r="D889" t="s">
        <v>449</v>
      </c>
      <c r="E889" s="12" t="str">
        <f t="shared" si="13"/>
        <v>Direita</v>
      </c>
    </row>
    <row r="890" spans="1:5" x14ac:dyDescent="0.3">
      <c r="A890" t="s">
        <v>737</v>
      </c>
      <c r="B890" t="s">
        <v>738</v>
      </c>
      <c r="C890" t="s">
        <v>582</v>
      </c>
      <c r="D890" t="s">
        <v>571</v>
      </c>
      <c r="E890" s="12" t="str">
        <f t="shared" si="13"/>
        <v>Direita</v>
      </c>
    </row>
    <row r="891" spans="1:5" x14ac:dyDescent="0.3">
      <c r="A891" t="s">
        <v>737</v>
      </c>
      <c r="B891" t="s">
        <v>738</v>
      </c>
      <c r="C891" t="s">
        <v>682</v>
      </c>
      <c r="D891" t="s">
        <v>683</v>
      </c>
      <c r="E891" s="12" t="str">
        <f t="shared" si="13"/>
        <v>Direita</v>
      </c>
    </row>
    <row r="892" spans="1:5" x14ac:dyDescent="0.3">
      <c r="A892" t="s">
        <v>737</v>
      </c>
      <c r="B892" t="s">
        <v>738</v>
      </c>
      <c r="C892" t="s">
        <v>292</v>
      </c>
      <c r="D892" t="s">
        <v>293</v>
      </c>
      <c r="E892" s="12" t="str">
        <f t="shared" si="13"/>
        <v>Direita</v>
      </c>
    </row>
    <row r="893" spans="1:5" x14ac:dyDescent="0.3">
      <c r="A893" t="s">
        <v>737</v>
      </c>
      <c r="B893" t="s">
        <v>738</v>
      </c>
      <c r="C893" t="s">
        <v>200</v>
      </c>
      <c r="D893" t="s">
        <v>201</v>
      </c>
      <c r="E893" s="12" t="str">
        <f t="shared" si="13"/>
        <v>Direita</v>
      </c>
    </row>
    <row r="894" spans="1:5" x14ac:dyDescent="0.3">
      <c r="A894" t="s">
        <v>737</v>
      </c>
      <c r="B894" t="s">
        <v>738</v>
      </c>
      <c r="C894" t="s">
        <v>591</v>
      </c>
      <c r="D894" t="s">
        <v>592</v>
      </c>
      <c r="E894" s="12" t="str">
        <f t="shared" si="13"/>
        <v>Direita</v>
      </c>
    </row>
    <row r="895" spans="1:5" x14ac:dyDescent="0.3">
      <c r="A895" t="s">
        <v>737</v>
      </c>
      <c r="B895" t="s">
        <v>738</v>
      </c>
      <c r="C895" t="s">
        <v>100</v>
      </c>
      <c r="D895" t="s">
        <v>737</v>
      </c>
      <c r="E895" s="12" t="str">
        <f t="shared" si="13"/>
        <v>Direita</v>
      </c>
    </row>
    <row r="896" spans="1:5" x14ac:dyDescent="0.3">
      <c r="A896" t="s">
        <v>737</v>
      </c>
      <c r="B896" t="s">
        <v>738</v>
      </c>
      <c r="C896" t="s">
        <v>373</v>
      </c>
      <c r="D896" t="s">
        <v>374</v>
      </c>
      <c r="E896" s="12" t="str">
        <f t="shared" si="13"/>
        <v>Direita</v>
      </c>
    </row>
    <row r="897" spans="1:5" x14ac:dyDescent="0.3">
      <c r="A897" t="s">
        <v>488</v>
      </c>
      <c r="B897" t="s">
        <v>489</v>
      </c>
      <c r="C897" t="s">
        <v>490</v>
      </c>
      <c r="D897" t="s">
        <v>491</v>
      </c>
      <c r="E897" s="12" t="str">
        <f t="shared" si="13"/>
        <v>Esquerda</v>
      </c>
    </row>
    <row r="898" spans="1:5" x14ac:dyDescent="0.3">
      <c r="A898" t="s">
        <v>488</v>
      </c>
      <c r="B898" t="s">
        <v>489</v>
      </c>
      <c r="C898" t="s">
        <v>492</v>
      </c>
      <c r="D898" t="s">
        <v>493</v>
      </c>
      <c r="E898" s="12" t="str">
        <f t="shared" si="13"/>
        <v>Esquerda</v>
      </c>
    </row>
    <row r="899" spans="1:5" x14ac:dyDescent="0.3">
      <c r="A899" t="s">
        <v>488</v>
      </c>
      <c r="B899" t="s">
        <v>489</v>
      </c>
      <c r="C899" t="s">
        <v>494</v>
      </c>
      <c r="D899" t="s">
        <v>495</v>
      </c>
      <c r="E899" s="12" t="str">
        <f t="shared" ref="E899:E962" si="14">IF(INDEX(K:K,MATCH(A899,I:I,0))&lt;&gt;0,INDEX(K:K,MATCH(A899,I:I,0)),"")</f>
        <v>Esquerda</v>
      </c>
    </row>
    <row r="900" spans="1:5" x14ac:dyDescent="0.3">
      <c r="A900" t="s">
        <v>488</v>
      </c>
      <c r="B900" t="s">
        <v>489</v>
      </c>
      <c r="C900" t="s">
        <v>496</v>
      </c>
      <c r="D900" t="s">
        <v>497</v>
      </c>
      <c r="E900" s="12" t="str">
        <f t="shared" si="14"/>
        <v>Esquerda</v>
      </c>
    </row>
    <row r="901" spans="1:5" x14ac:dyDescent="0.3">
      <c r="A901" t="s">
        <v>488</v>
      </c>
      <c r="B901" t="s">
        <v>489</v>
      </c>
      <c r="C901" t="s">
        <v>498</v>
      </c>
      <c r="D901" t="s">
        <v>499</v>
      </c>
      <c r="E901" s="12" t="str">
        <f t="shared" si="14"/>
        <v>Esquerda</v>
      </c>
    </row>
    <row r="902" spans="1:5" x14ac:dyDescent="0.3">
      <c r="A902" t="s">
        <v>488</v>
      </c>
      <c r="B902" t="s">
        <v>489</v>
      </c>
      <c r="C902" t="s">
        <v>396</v>
      </c>
      <c r="D902" t="s">
        <v>397</v>
      </c>
      <c r="E902" s="12" t="str">
        <f t="shared" si="14"/>
        <v>Esquerda</v>
      </c>
    </row>
    <row r="903" spans="1:5" x14ac:dyDescent="0.3">
      <c r="A903" t="s">
        <v>488</v>
      </c>
      <c r="B903" t="s">
        <v>489</v>
      </c>
      <c r="C903" t="s">
        <v>398</v>
      </c>
      <c r="D903" t="s">
        <v>399</v>
      </c>
      <c r="E903" s="12" t="str">
        <f t="shared" si="14"/>
        <v>Esquerda</v>
      </c>
    </row>
    <row r="904" spans="1:5" x14ac:dyDescent="0.3">
      <c r="A904" t="s">
        <v>488</v>
      </c>
      <c r="B904" t="s">
        <v>489</v>
      </c>
      <c r="C904" t="s">
        <v>500</v>
      </c>
      <c r="D904" t="s">
        <v>501</v>
      </c>
      <c r="E904" s="12" t="str">
        <f t="shared" si="14"/>
        <v>Esquerda</v>
      </c>
    </row>
    <row r="905" spans="1:5" x14ac:dyDescent="0.3">
      <c r="A905" t="s">
        <v>488</v>
      </c>
      <c r="B905" t="s">
        <v>489</v>
      </c>
      <c r="C905" t="s">
        <v>28</v>
      </c>
      <c r="D905" t="s">
        <v>29</v>
      </c>
      <c r="E905" s="12" t="str">
        <f t="shared" si="14"/>
        <v>Esquerda</v>
      </c>
    </row>
    <row r="906" spans="1:5" x14ac:dyDescent="0.3">
      <c r="A906" t="s">
        <v>488</v>
      </c>
      <c r="B906" t="s">
        <v>489</v>
      </c>
      <c r="C906" t="s">
        <v>414</v>
      </c>
      <c r="D906" t="s">
        <v>415</v>
      </c>
      <c r="E906" s="12" t="str">
        <f t="shared" si="14"/>
        <v>Esquerda</v>
      </c>
    </row>
    <row r="907" spans="1:5" x14ac:dyDescent="0.3">
      <c r="A907" t="s">
        <v>488</v>
      </c>
      <c r="B907" t="s">
        <v>489</v>
      </c>
      <c r="C907" t="s">
        <v>68</v>
      </c>
      <c r="D907" t="s">
        <v>69</v>
      </c>
      <c r="E907" s="12" t="str">
        <f t="shared" si="14"/>
        <v>Esquerda</v>
      </c>
    </row>
    <row r="908" spans="1:5" x14ac:dyDescent="0.3">
      <c r="A908" t="s">
        <v>488</v>
      </c>
      <c r="B908" t="s">
        <v>489</v>
      </c>
      <c r="C908" t="s">
        <v>222</v>
      </c>
      <c r="D908" t="s">
        <v>223</v>
      </c>
      <c r="E908" s="12" t="str">
        <f t="shared" si="14"/>
        <v>Esquerda</v>
      </c>
    </row>
    <row r="909" spans="1:5" x14ac:dyDescent="0.3">
      <c r="A909" t="s">
        <v>488</v>
      </c>
      <c r="B909" t="s">
        <v>489</v>
      </c>
      <c r="C909" t="s">
        <v>502</v>
      </c>
      <c r="D909" t="s">
        <v>503</v>
      </c>
      <c r="E909" s="12" t="str">
        <f t="shared" si="14"/>
        <v>Esquerda</v>
      </c>
    </row>
    <row r="910" spans="1:5" x14ac:dyDescent="0.3">
      <c r="A910" t="s">
        <v>488</v>
      </c>
      <c r="B910" t="s">
        <v>489</v>
      </c>
      <c r="C910" t="s">
        <v>34</v>
      </c>
      <c r="D910" t="s">
        <v>35</v>
      </c>
      <c r="E910" s="12" t="str">
        <f t="shared" si="14"/>
        <v>Esquerda</v>
      </c>
    </row>
    <row r="911" spans="1:5" x14ac:dyDescent="0.3">
      <c r="A911" t="s">
        <v>488</v>
      </c>
      <c r="B911" t="s">
        <v>489</v>
      </c>
      <c r="C911" t="s">
        <v>228</v>
      </c>
      <c r="D911" t="s">
        <v>229</v>
      </c>
      <c r="E911" s="12" t="str">
        <f t="shared" si="14"/>
        <v>Esquerda</v>
      </c>
    </row>
    <row r="912" spans="1:5" x14ac:dyDescent="0.3">
      <c r="A912" t="s">
        <v>488</v>
      </c>
      <c r="B912" t="s">
        <v>489</v>
      </c>
      <c r="C912" t="s">
        <v>504</v>
      </c>
      <c r="D912" t="s">
        <v>505</v>
      </c>
      <c r="E912" s="12" t="str">
        <f t="shared" si="14"/>
        <v>Esquerda</v>
      </c>
    </row>
    <row r="913" spans="1:5" x14ac:dyDescent="0.3">
      <c r="A913" t="s">
        <v>488</v>
      </c>
      <c r="B913" t="s">
        <v>489</v>
      </c>
      <c r="C913" t="s">
        <v>426</v>
      </c>
      <c r="D913" t="s">
        <v>427</v>
      </c>
      <c r="E913" s="12" t="str">
        <f t="shared" si="14"/>
        <v>Esquerda</v>
      </c>
    </row>
    <row r="914" spans="1:5" x14ac:dyDescent="0.3">
      <c r="A914" t="s">
        <v>488</v>
      </c>
      <c r="B914" t="s">
        <v>489</v>
      </c>
      <c r="C914" t="s">
        <v>463</v>
      </c>
      <c r="D914" t="s">
        <v>460</v>
      </c>
      <c r="E914" s="12" t="str">
        <f t="shared" si="14"/>
        <v>Esquerda</v>
      </c>
    </row>
    <row r="915" spans="1:5" x14ac:dyDescent="0.3">
      <c r="A915" t="s">
        <v>488</v>
      </c>
      <c r="B915" t="s">
        <v>489</v>
      </c>
      <c r="C915" t="s">
        <v>36</v>
      </c>
      <c r="D915" t="s">
        <v>37</v>
      </c>
      <c r="E915" s="12" t="str">
        <f t="shared" si="14"/>
        <v>Esquerda</v>
      </c>
    </row>
    <row r="916" spans="1:5" x14ac:dyDescent="0.3">
      <c r="A916" t="s">
        <v>488</v>
      </c>
      <c r="B916" t="s">
        <v>489</v>
      </c>
      <c r="C916" t="s">
        <v>38</v>
      </c>
      <c r="D916" t="s">
        <v>39</v>
      </c>
      <c r="E916" s="12" t="str">
        <f t="shared" si="14"/>
        <v>Esquerda</v>
      </c>
    </row>
    <row r="917" spans="1:5" x14ac:dyDescent="0.3">
      <c r="A917" t="s">
        <v>488</v>
      </c>
      <c r="B917" t="s">
        <v>489</v>
      </c>
      <c r="C917" t="s">
        <v>506</v>
      </c>
      <c r="D917" t="s">
        <v>497</v>
      </c>
      <c r="E917" s="12" t="str">
        <f t="shared" si="14"/>
        <v>Esquerda</v>
      </c>
    </row>
    <row r="918" spans="1:5" x14ac:dyDescent="0.3">
      <c r="A918" t="s">
        <v>488</v>
      </c>
      <c r="B918" t="s">
        <v>489</v>
      </c>
      <c r="C918" t="s">
        <v>235</v>
      </c>
      <c r="D918" t="s">
        <v>236</v>
      </c>
      <c r="E918" s="12" t="str">
        <f t="shared" si="14"/>
        <v>Esquerda</v>
      </c>
    </row>
    <row r="919" spans="1:5" x14ac:dyDescent="0.3">
      <c r="A919" t="s">
        <v>488</v>
      </c>
      <c r="B919" t="s">
        <v>489</v>
      </c>
      <c r="C919" t="s">
        <v>507</v>
      </c>
      <c r="D919" t="s">
        <v>508</v>
      </c>
      <c r="E919" s="12" t="str">
        <f t="shared" si="14"/>
        <v>Esquerda</v>
      </c>
    </row>
    <row r="920" spans="1:5" x14ac:dyDescent="0.3">
      <c r="A920" t="s">
        <v>488</v>
      </c>
      <c r="B920" t="s">
        <v>489</v>
      </c>
      <c r="C920" t="s">
        <v>509</v>
      </c>
      <c r="D920" t="s">
        <v>510</v>
      </c>
      <c r="E920" s="12" t="str">
        <f t="shared" si="14"/>
        <v>Esquerda</v>
      </c>
    </row>
    <row r="921" spans="1:5" x14ac:dyDescent="0.3">
      <c r="A921" t="s">
        <v>488</v>
      </c>
      <c r="B921" t="s">
        <v>489</v>
      </c>
      <c r="C921" t="s">
        <v>461</v>
      </c>
      <c r="D921" t="s">
        <v>462</v>
      </c>
      <c r="E921" s="12" t="str">
        <f t="shared" si="14"/>
        <v>Esquerda</v>
      </c>
    </row>
    <row r="922" spans="1:5" x14ac:dyDescent="0.3">
      <c r="A922" t="s">
        <v>488</v>
      </c>
      <c r="B922" t="s">
        <v>489</v>
      </c>
      <c r="C922" t="s">
        <v>511</v>
      </c>
      <c r="D922" t="s">
        <v>512</v>
      </c>
      <c r="E922" s="12" t="str">
        <f t="shared" si="14"/>
        <v>Esquerda</v>
      </c>
    </row>
    <row r="923" spans="1:5" x14ac:dyDescent="0.3">
      <c r="A923" t="s">
        <v>488</v>
      </c>
      <c r="B923" t="s">
        <v>489</v>
      </c>
      <c r="C923" t="s">
        <v>496</v>
      </c>
      <c r="D923" t="s">
        <v>488</v>
      </c>
      <c r="E923" s="12" t="str">
        <f t="shared" si="14"/>
        <v>Esquerda</v>
      </c>
    </row>
    <row r="924" spans="1:5" x14ac:dyDescent="0.3">
      <c r="A924" t="s">
        <v>488</v>
      </c>
      <c r="B924" t="s">
        <v>489</v>
      </c>
      <c r="C924" t="s">
        <v>377</v>
      </c>
      <c r="D924" t="s">
        <v>378</v>
      </c>
      <c r="E924" s="12" t="str">
        <f t="shared" si="14"/>
        <v>Esquerda</v>
      </c>
    </row>
    <row r="925" spans="1:5" x14ac:dyDescent="0.3">
      <c r="A925" t="s">
        <v>488</v>
      </c>
      <c r="B925" t="s">
        <v>489</v>
      </c>
      <c r="C925" t="s">
        <v>513</v>
      </c>
      <c r="D925" t="s">
        <v>514</v>
      </c>
      <c r="E925" s="12" t="str">
        <f t="shared" si="14"/>
        <v>Esquerda</v>
      </c>
    </row>
    <row r="926" spans="1:5" x14ac:dyDescent="0.3">
      <c r="A926" t="s">
        <v>488</v>
      </c>
      <c r="B926" t="s">
        <v>489</v>
      </c>
      <c r="C926" t="s">
        <v>515</v>
      </c>
      <c r="D926" t="s">
        <v>516</v>
      </c>
      <c r="E926" s="12" t="str">
        <f t="shared" si="14"/>
        <v>Esquerda</v>
      </c>
    </row>
    <row r="927" spans="1:5" x14ac:dyDescent="0.3">
      <c r="A927" t="s">
        <v>488</v>
      </c>
      <c r="B927" t="s">
        <v>489</v>
      </c>
      <c r="C927" t="s">
        <v>251</v>
      </c>
      <c r="D927" t="s">
        <v>252</v>
      </c>
      <c r="E927" s="12" t="str">
        <f t="shared" si="14"/>
        <v>Esquerda</v>
      </c>
    </row>
    <row r="928" spans="1:5" x14ac:dyDescent="0.3">
      <c r="A928" t="s">
        <v>488</v>
      </c>
      <c r="B928" t="s">
        <v>489</v>
      </c>
      <c r="C928" t="s">
        <v>249</v>
      </c>
      <c r="D928" t="s">
        <v>250</v>
      </c>
      <c r="E928" s="12" t="str">
        <f t="shared" si="14"/>
        <v>Esquerda</v>
      </c>
    </row>
    <row r="929" spans="1:5" x14ac:dyDescent="0.3">
      <c r="A929" t="s">
        <v>488</v>
      </c>
      <c r="B929" t="s">
        <v>489</v>
      </c>
      <c r="C929" t="s">
        <v>32</v>
      </c>
      <c r="D929" t="s">
        <v>33</v>
      </c>
      <c r="E929" s="12" t="str">
        <f t="shared" si="14"/>
        <v>Esquerda</v>
      </c>
    </row>
    <row r="930" spans="1:5" x14ac:dyDescent="0.3">
      <c r="A930" t="s">
        <v>488</v>
      </c>
      <c r="B930" t="s">
        <v>489</v>
      </c>
      <c r="C930" t="s">
        <v>314</v>
      </c>
      <c r="D930" t="s">
        <v>315</v>
      </c>
      <c r="E930" s="12" t="str">
        <f t="shared" si="14"/>
        <v>Esquerda</v>
      </c>
    </row>
    <row r="931" spans="1:5" x14ac:dyDescent="0.3">
      <c r="A931" t="s">
        <v>488</v>
      </c>
      <c r="B931" t="s">
        <v>489</v>
      </c>
      <c r="C931" t="s">
        <v>383</v>
      </c>
      <c r="D931" t="s">
        <v>384</v>
      </c>
      <c r="E931" s="12" t="str">
        <f t="shared" si="14"/>
        <v>Esquerda</v>
      </c>
    </row>
    <row r="932" spans="1:5" x14ac:dyDescent="0.3">
      <c r="A932" t="s">
        <v>488</v>
      </c>
      <c r="B932" t="s">
        <v>489</v>
      </c>
      <c r="C932" t="s">
        <v>92</v>
      </c>
      <c r="D932" t="s">
        <v>93</v>
      </c>
      <c r="E932" s="12" t="str">
        <f t="shared" si="14"/>
        <v>Esquerda</v>
      </c>
    </row>
    <row r="933" spans="1:5" x14ac:dyDescent="0.3">
      <c r="A933" t="s">
        <v>488</v>
      </c>
      <c r="B933" t="s">
        <v>489</v>
      </c>
      <c r="C933" t="s">
        <v>470</v>
      </c>
      <c r="D933" t="s">
        <v>471</v>
      </c>
      <c r="E933" s="12" t="str">
        <f t="shared" si="14"/>
        <v>Esquerda</v>
      </c>
    </row>
    <row r="934" spans="1:5" x14ac:dyDescent="0.3">
      <c r="A934" t="s">
        <v>488</v>
      </c>
      <c r="B934" t="s">
        <v>489</v>
      </c>
      <c r="C934" t="s">
        <v>517</v>
      </c>
      <c r="D934" t="s">
        <v>518</v>
      </c>
      <c r="E934" s="12" t="str">
        <f t="shared" si="14"/>
        <v>Esquerda</v>
      </c>
    </row>
    <row r="935" spans="1:5" x14ac:dyDescent="0.3">
      <c r="A935" t="s">
        <v>488</v>
      </c>
      <c r="B935" t="s">
        <v>489</v>
      </c>
      <c r="C935" t="s">
        <v>353</v>
      </c>
      <c r="D935" t="s">
        <v>354</v>
      </c>
      <c r="E935" s="12" t="str">
        <f t="shared" si="14"/>
        <v>Esquerda</v>
      </c>
    </row>
    <row r="936" spans="1:5" x14ac:dyDescent="0.3">
      <c r="A936" t="s">
        <v>488</v>
      </c>
      <c r="B936" t="s">
        <v>489</v>
      </c>
      <c r="C936" t="s">
        <v>100</v>
      </c>
      <c r="D936" t="s">
        <v>488</v>
      </c>
      <c r="E936" s="12" t="str">
        <f t="shared" si="14"/>
        <v>Esquerda</v>
      </c>
    </row>
    <row r="937" spans="1:5" x14ac:dyDescent="0.3">
      <c r="A937" t="s">
        <v>488</v>
      </c>
      <c r="B937" t="s">
        <v>489</v>
      </c>
      <c r="C937" t="s">
        <v>74</v>
      </c>
      <c r="D937" t="s">
        <v>75</v>
      </c>
      <c r="E937" s="12" t="str">
        <f t="shared" si="14"/>
        <v>Esquerda</v>
      </c>
    </row>
    <row r="938" spans="1:5" x14ac:dyDescent="0.3">
      <c r="A938" t="s">
        <v>488</v>
      </c>
      <c r="B938" t="s">
        <v>489</v>
      </c>
      <c r="C938" t="s">
        <v>519</v>
      </c>
      <c r="D938" t="s">
        <v>520</v>
      </c>
      <c r="E938" s="12" t="str">
        <f t="shared" si="14"/>
        <v>Esquerda</v>
      </c>
    </row>
    <row r="939" spans="1:5" x14ac:dyDescent="0.3">
      <c r="A939" t="s">
        <v>488</v>
      </c>
      <c r="B939" t="s">
        <v>489</v>
      </c>
      <c r="C939" t="s">
        <v>521</v>
      </c>
      <c r="D939" t="s">
        <v>471</v>
      </c>
      <c r="E939" s="12" t="str">
        <f t="shared" si="14"/>
        <v>Esquerda</v>
      </c>
    </row>
    <row r="940" spans="1:5" x14ac:dyDescent="0.3">
      <c r="A940" t="s">
        <v>488</v>
      </c>
      <c r="B940" t="s">
        <v>489</v>
      </c>
      <c r="C940" t="s">
        <v>222</v>
      </c>
      <c r="D940" t="s">
        <v>522</v>
      </c>
      <c r="E940" s="12" t="str">
        <f t="shared" si="14"/>
        <v>Esquerda</v>
      </c>
    </row>
    <row r="941" spans="1:5" x14ac:dyDescent="0.3">
      <c r="A941" t="s">
        <v>488</v>
      </c>
      <c r="B941" t="s">
        <v>489</v>
      </c>
      <c r="C941" t="s">
        <v>468</v>
      </c>
      <c r="D941" t="s">
        <v>469</v>
      </c>
      <c r="E941" s="12" t="str">
        <f t="shared" si="14"/>
        <v>Esquerda</v>
      </c>
    </row>
    <row r="942" spans="1:5" x14ac:dyDescent="0.3">
      <c r="A942" t="s">
        <v>488</v>
      </c>
      <c r="B942" t="s">
        <v>489</v>
      </c>
      <c r="C942" t="s">
        <v>523</v>
      </c>
      <c r="D942" t="s">
        <v>524</v>
      </c>
      <c r="E942" s="12" t="str">
        <f t="shared" si="14"/>
        <v>Esquerda</v>
      </c>
    </row>
    <row r="943" spans="1:5" x14ac:dyDescent="0.3">
      <c r="A943" t="s">
        <v>488</v>
      </c>
      <c r="B943" t="s">
        <v>489</v>
      </c>
      <c r="C943" t="s">
        <v>525</v>
      </c>
      <c r="D943" t="s">
        <v>526</v>
      </c>
      <c r="E943" s="12" t="str">
        <f t="shared" si="14"/>
        <v>Esquerda</v>
      </c>
    </row>
    <row r="944" spans="1:5" x14ac:dyDescent="0.3">
      <c r="A944" t="s">
        <v>488</v>
      </c>
      <c r="B944" t="s">
        <v>489</v>
      </c>
      <c r="C944" t="s">
        <v>22</v>
      </c>
      <c r="D944" t="s">
        <v>23</v>
      </c>
      <c r="E944" s="12" t="str">
        <f t="shared" si="14"/>
        <v>Esquerda</v>
      </c>
    </row>
    <row r="945" spans="1:5" x14ac:dyDescent="0.3">
      <c r="A945" t="s">
        <v>488</v>
      </c>
      <c r="B945" t="s">
        <v>489</v>
      </c>
      <c r="C945" t="s">
        <v>527</v>
      </c>
      <c r="D945" t="s">
        <v>528</v>
      </c>
      <c r="E945" s="12" t="str">
        <f t="shared" si="14"/>
        <v>Esquerda</v>
      </c>
    </row>
    <row r="946" spans="1:5" x14ac:dyDescent="0.3">
      <c r="A946" t="s">
        <v>488</v>
      </c>
      <c r="B946" t="s">
        <v>489</v>
      </c>
      <c r="C946" t="s">
        <v>529</v>
      </c>
      <c r="D946" t="s">
        <v>530</v>
      </c>
      <c r="E946" s="12" t="str">
        <f t="shared" si="14"/>
        <v>Esquerda</v>
      </c>
    </row>
    <row r="947" spans="1:5" x14ac:dyDescent="0.3">
      <c r="A947" t="s">
        <v>488</v>
      </c>
      <c r="B947" t="s">
        <v>489</v>
      </c>
      <c r="C947" t="s">
        <v>268</v>
      </c>
      <c r="D947" t="s">
        <v>269</v>
      </c>
      <c r="E947" s="12" t="str">
        <f t="shared" si="14"/>
        <v>Esquerda</v>
      </c>
    </row>
    <row r="948" spans="1:5" x14ac:dyDescent="0.3">
      <c r="A948" t="s">
        <v>488</v>
      </c>
      <c r="B948" t="s">
        <v>489</v>
      </c>
      <c r="C948" t="s">
        <v>531</v>
      </c>
      <c r="D948" t="s">
        <v>495</v>
      </c>
      <c r="E948" s="12" t="str">
        <f t="shared" si="14"/>
        <v>Esquerda</v>
      </c>
    </row>
    <row r="949" spans="1:5" x14ac:dyDescent="0.3">
      <c r="A949" t="s">
        <v>488</v>
      </c>
      <c r="B949" t="s">
        <v>489</v>
      </c>
      <c r="C949" t="s">
        <v>532</v>
      </c>
      <c r="D949" t="s">
        <v>533</v>
      </c>
      <c r="E949" s="12" t="str">
        <f t="shared" si="14"/>
        <v>Esquerda</v>
      </c>
    </row>
    <row r="950" spans="1:5" x14ac:dyDescent="0.3">
      <c r="A950" t="s">
        <v>488</v>
      </c>
      <c r="B950" t="s">
        <v>489</v>
      </c>
      <c r="C950" t="s">
        <v>534</v>
      </c>
      <c r="D950" t="s">
        <v>535</v>
      </c>
      <c r="E950" s="12" t="str">
        <f t="shared" si="14"/>
        <v>Esquerda</v>
      </c>
    </row>
    <row r="951" spans="1:5" x14ac:dyDescent="0.3">
      <c r="A951" t="s">
        <v>488</v>
      </c>
      <c r="B951" t="s">
        <v>489</v>
      </c>
      <c r="C951" t="s">
        <v>536</v>
      </c>
      <c r="D951" t="s">
        <v>537</v>
      </c>
      <c r="E951" s="12" t="str">
        <f t="shared" si="14"/>
        <v>Esquerda</v>
      </c>
    </row>
    <row r="952" spans="1:5" x14ac:dyDescent="0.3">
      <c r="A952" t="s">
        <v>488</v>
      </c>
      <c r="B952" t="s">
        <v>489</v>
      </c>
      <c r="C952" t="s">
        <v>204</v>
      </c>
      <c r="D952" t="s">
        <v>205</v>
      </c>
      <c r="E952" s="12" t="str">
        <f t="shared" si="14"/>
        <v>Esquerda</v>
      </c>
    </row>
    <row r="953" spans="1:5" x14ac:dyDescent="0.3">
      <c r="A953" t="s">
        <v>488</v>
      </c>
      <c r="B953" t="s">
        <v>489</v>
      </c>
      <c r="C953" t="s">
        <v>280</v>
      </c>
      <c r="D953" t="s">
        <v>281</v>
      </c>
      <c r="E953" s="12" t="str">
        <f t="shared" si="14"/>
        <v>Esquerda</v>
      </c>
    </row>
    <row r="954" spans="1:5" x14ac:dyDescent="0.3">
      <c r="A954" t="s">
        <v>488</v>
      </c>
      <c r="B954" t="s">
        <v>489</v>
      </c>
      <c r="C954" t="s">
        <v>472</v>
      </c>
      <c r="D954" t="s">
        <v>473</v>
      </c>
      <c r="E954" s="12" t="str">
        <f t="shared" si="14"/>
        <v>Esquerda</v>
      </c>
    </row>
    <row r="955" spans="1:5" x14ac:dyDescent="0.3">
      <c r="A955" t="s">
        <v>488</v>
      </c>
      <c r="B955" t="s">
        <v>489</v>
      </c>
      <c r="C955" t="s">
        <v>538</v>
      </c>
      <c r="D955" t="s">
        <v>539</v>
      </c>
      <c r="E955" s="12" t="str">
        <f t="shared" si="14"/>
        <v>Esquerda</v>
      </c>
    </row>
    <row r="956" spans="1:5" x14ac:dyDescent="0.3">
      <c r="A956" t="s">
        <v>641</v>
      </c>
      <c r="B956" t="s">
        <v>642</v>
      </c>
      <c r="C956" t="s">
        <v>284</v>
      </c>
      <c r="D956" t="s">
        <v>285</v>
      </c>
      <c r="E956" s="12" t="str">
        <f t="shared" si="14"/>
        <v>Centro direita</v>
      </c>
    </row>
    <row r="957" spans="1:5" x14ac:dyDescent="0.3">
      <c r="A957" t="s">
        <v>641</v>
      </c>
      <c r="B957" t="s">
        <v>642</v>
      </c>
      <c r="C957" t="s">
        <v>340</v>
      </c>
      <c r="D957" t="s">
        <v>341</v>
      </c>
      <c r="E957" s="12" t="str">
        <f t="shared" si="14"/>
        <v>Centro direita</v>
      </c>
    </row>
    <row r="958" spans="1:5" x14ac:dyDescent="0.3">
      <c r="A958" t="s">
        <v>641</v>
      </c>
      <c r="B958" t="s">
        <v>642</v>
      </c>
      <c r="C958" t="s">
        <v>342</v>
      </c>
      <c r="D958" t="s">
        <v>341</v>
      </c>
      <c r="E958" s="12" t="str">
        <f t="shared" si="14"/>
        <v>Centro direita</v>
      </c>
    </row>
    <row r="959" spans="1:5" x14ac:dyDescent="0.3">
      <c r="A959" t="s">
        <v>641</v>
      </c>
      <c r="B959" t="s">
        <v>642</v>
      </c>
      <c r="C959" t="s">
        <v>607</v>
      </c>
      <c r="D959" t="s">
        <v>608</v>
      </c>
      <c r="E959" s="12" t="str">
        <f t="shared" si="14"/>
        <v>Centro direita</v>
      </c>
    </row>
    <row r="960" spans="1:5" x14ac:dyDescent="0.3">
      <c r="A960" t="s">
        <v>641</v>
      </c>
      <c r="B960" t="s">
        <v>642</v>
      </c>
      <c r="C960" t="s">
        <v>68</v>
      </c>
      <c r="D960" t="s">
        <v>69</v>
      </c>
      <c r="E960" s="12" t="str">
        <f t="shared" si="14"/>
        <v>Centro direita</v>
      </c>
    </row>
    <row r="961" spans="1:5" x14ac:dyDescent="0.3">
      <c r="A961" t="s">
        <v>641</v>
      </c>
      <c r="B961" t="s">
        <v>642</v>
      </c>
      <c r="C961" t="s">
        <v>143</v>
      </c>
      <c r="D961" t="s">
        <v>144</v>
      </c>
      <c r="E961" s="12" t="str">
        <f t="shared" si="14"/>
        <v>Centro direita</v>
      </c>
    </row>
    <row r="962" spans="1:5" x14ac:dyDescent="0.3">
      <c r="A962" t="s">
        <v>641</v>
      </c>
      <c r="B962" t="s">
        <v>642</v>
      </c>
      <c r="C962" t="s">
        <v>396</v>
      </c>
      <c r="D962" t="s">
        <v>397</v>
      </c>
      <c r="E962" s="12" t="str">
        <f t="shared" si="14"/>
        <v>Centro direita</v>
      </c>
    </row>
    <row r="963" spans="1:5" x14ac:dyDescent="0.3">
      <c r="A963" t="s">
        <v>641</v>
      </c>
      <c r="B963" t="s">
        <v>642</v>
      </c>
      <c r="C963" t="s">
        <v>398</v>
      </c>
      <c r="D963" t="s">
        <v>399</v>
      </c>
      <c r="E963" s="12" t="str">
        <f t="shared" ref="E963:E1026" si="15">IF(INDEX(K:K,MATCH(A963,I:I,0))&lt;&gt;0,INDEX(K:K,MATCH(A963,I:I,0)),"")</f>
        <v>Centro direita</v>
      </c>
    </row>
    <row r="964" spans="1:5" x14ac:dyDescent="0.3">
      <c r="A964" t="s">
        <v>641</v>
      </c>
      <c r="B964" t="s">
        <v>642</v>
      </c>
      <c r="C964" t="s">
        <v>418</v>
      </c>
      <c r="D964" t="s">
        <v>419</v>
      </c>
      <c r="E964" s="12" t="str">
        <f t="shared" si="15"/>
        <v>Centro direita</v>
      </c>
    </row>
    <row r="965" spans="1:5" x14ac:dyDescent="0.3">
      <c r="A965" t="s">
        <v>641</v>
      </c>
      <c r="B965" t="s">
        <v>642</v>
      </c>
      <c r="C965" t="s">
        <v>20</v>
      </c>
      <c r="D965" t="s">
        <v>21</v>
      </c>
      <c r="E965" s="12" t="str">
        <f t="shared" si="15"/>
        <v>Centro direita</v>
      </c>
    </row>
    <row r="966" spans="1:5" x14ac:dyDescent="0.3">
      <c r="A966" t="s">
        <v>641</v>
      </c>
      <c r="B966" t="s">
        <v>642</v>
      </c>
      <c r="C966" t="s">
        <v>349</v>
      </c>
      <c r="D966" t="s">
        <v>350</v>
      </c>
      <c r="E966" s="12" t="str">
        <f t="shared" si="15"/>
        <v>Centro direita</v>
      </c>
    </row>
    <row r="967" spans="1:5" x14ac:dyDescent="0.3">
      <c r="A967" t="s">
        <v>641</v>
      </c>
      <c r="B967" t="s">
        <v>642</v>
      </c>
      <c r="C967" t="s">
        <v>404</v>
      </c>
      <c r="D967" t="s">
        <v>405</v>
      </c>
      <c r="E967" s="12" t="str">
        <f t="shared" si="15"/>
        <v>Centro direita</v>
      </c>
    </row>
    <row r="968" spans="1:5" x14ac:dyDescent="0.3">
      <c r="A968" t="s">
        <v>641</v>
      </c>
      <c r="B968" t="s">
        <v>642</v>
      </c>
      <c r="C968" t="s">
        <v>406</v>
      </c>
      <c r="D968" t="s">
        <v>407</v>
      </c>
      <c r="E968" s="12" t="str">
        <f t="shared" si="15"/>
        <v>Centro direita</v>
      </c>
    </row>
    <row r="969" spans="1:5" x14ac:dyDescent="0.3">
      <c r="A969" t="s">
        <v>641</v>
      </c>
      <c r="B969" t="s">
        <v>642</v>
      </c>
      <c r="C969" t="s">
        <v>643</v>
      </c>
      <c r="D969" t="s">
        <v>644</v>
      </c>
      <c r="E969" s="12" t="str">
        <f t="shared" si="15"/>
        <v>Centro direita</v>
      </c>
    </row>
    <row r="970" spans="1:5" x14ac:dyDescent="0.3">
      <c r="A970" t="s">
        <v>641</v>
      </c>
      <c r="B970" t="s">
        <v>642</v>
      </c>
      <c r="C970" t="s">
        <v>224</v>
      </c>
      <c r="D970" t="s">
        <v>225</v>
      </c>
      <c r="E970" s="12" t="str">
        <f t="shared" si="15"/>
        <v>Centro direita</v>
      </c>
    </row>
    <row r="971" spans="1:5" x14ac:dyDescent="0.3">
      <c r="A971" t="s">
        <v>641</v>
      </c>
      <c r="B971" t="s">
        <v>642</v>
      </c>
      <c r="C971" t="s">
        <v>613</v>
      </c>
      <c r="D971" t="s">
        <v>614</v>
      </c>
      <c r="E971" s="12" t="str">
        <f t="shared" si="15"/>
        <v>Centro direita</v>
      </c>
    </row>
    <row r="972" spans="1:5" x14ac:dyDescent="0.3">
      <c r="A972" t="s">
        <v>641</v>
      </c>
      <c r="B972" t="s">
        <v>642</v>
      </c>
      <c r="C972" t="s">
        <v>645</v>
      </c>
      <c r="D972" t="s">
        <v>646</v>
      </c>
      <c r="E972" s="12" t="str">
        <f t="shared" si="15"/>
        <v>Centro direita</v>
      </c>
    </row>
    <row r="973" spans="1:5" x14ac:dyDescent="0.3">
      <c r="A973" t="s">
        <v>641</v>
      </c>
      <c r="B973" t="s">
        <v>642</v>
      </c>
      <c r="C973" t="s">
        <v>80</v>
      </c>
      <c r="D973" t="s">
        <v>81</v>
      </c>
      <c r="E973" s="12" t="str">
        <f t="shared" si="15"/>
        <v>Centro direita</v>
      </c>
    </row>
    <row r="974" spans="1:5" x14ac:dyDescent="0.3">
      <c r="A974" t="s">
        <v>641</v>
      </c>
      <c r="B974" t="s">
        <v>642</v>
      </c>
      <c r="C974" t="s">
        <v>647</v>
      </c>
      <c r="D974" t="s">
        <v>648</v>
      </c>
      <c r="E974" s="12" t="str">
        <f t="shared" si="15"/>
        <v>Centro direita</v>
      </c>
    </row>
    <row r="975" spans="1:5" x14ac:dyDescent="0.3">
      <c r="A975" t="s">
        <v>641</v>
      </c>
      <c r="B975" t="s">
        <v>642</v>
      </c>
      <c r="C975" t="s">
        <v>84</v>
      </c>
      <c r="D975" t="s">
        <v>85</v>
      </c>
      <c r="E975" s="12" t="str">
        <f t="shared" si="15"/>
        <v>Centro direita</v>
      </c>
    </row>
    <row r="976" spans="1:5" x14ac:dyDescent="0.3">
      <c r="A976" t="s">
        <v>641</v>
      </c>
      <c r="B976" t="s">
        <v>642</v>
      </c>
      <c r="C976" t="s">
        <v>208</v>
      </c>
      <c r="D976" t="s">
        <v>209</v>
      </c>
      <c r="E976" s="12" t="str">
        <f t="shared" si="15"/>
        <v>Centro direita</v>
      </c>
    </row>
    <row r="977" spans="1:5" x14ac:dyDescent="0.3">
      <c r="A977" t="s">
        <v>641</v>
      </c>
      <c r="B977" t="s">
        <v>642</v>
      </c>
      <c r="C977" t="s">
        <v>328</v>
      </c>
      <c r="D977" t="s">
        <v>329</v>
      </c>
      <c r="E977" s="12" t="str">
        <f t="shared" si="15"/>
        <v>Centro direita</v>
      </c>
    </row>
    <row r="978" spans="1:5" x14ac:dyDescent="0.3">
      <c r="A978" t="s">
        <v>641</v>
      </c>
      <c r="B978" t="s">
        <v>642</v>
      </c>
      <c r="C978" t="s">
        <v>412</v>
      </c>
      <c r="D978" t="s">
        <v>413</v>
      </c>
      <c r="E978" s="12" t="str">
        <f t="shared" si="15"/>
        <v>Centro direita</v>
      </c>
    </row>
    <row r="979" spans="1:5" x14ac:dyDescent="0.3">
      <c r="A979" t="s">
        <v>641</v>
      </c>
      <c r="B979" t="s">
        <v>642</v>
      </c>
      <c r="C979" t="s">
        <v>410</v>
      </c>
      <c r="D979" t="s">
        <v>411</v>
      </c>
      <c r="E979" s="12" t="str">
        <f t="shared" si="15"/>
        <v>Centro direita</v>
      </c>
    </row>
    <row r="980" spans="1:5" x14ac:dyDescent="0.3">
      <c r="A980" t="s">
        <v>641</v>
      </c>
      <c r="B980" t="s">
        <v>642</v>
      </c>
      <c r="C980" t="s">
        <v>649</v>
      </c>
      <c r="D980" t="s">
        <v>650</v>
      </c>
      <c r="E980" s="12" t="str">
        <f t="shared" si="15"/>
        <v>Centro direita</v>
      </c>
    </row>
    <row r="981" spans="1:5" x14ac:dyDescent="0.3">
      <c r="A981" t="s">
        <v>641</v>
      </c>
      <c r="B981" t="s">
        <v>642</v>
      </c>
      <c r="C981" t="s">
        <v>270</v>
      </c>
      <c r="D981" t="s">
        <v>271</v>
      </c>
      <c r="E981" s="12" t="str">
        <f t="shared" si="15"/>
        <v>Centro direita</v>
      </c>
    </row>
    <row r="982" spans="1:5" x14ac:dyDescent="0.3">
      <c r="A982" t="s">
        <v>641</v>
      </c>
      <c r="B982" t="s">
        <v>642</v>
      </c>
      <c r="C982" t="s">
        <v>637</v>
      </c>
      <c r="D982" t="s">
        <v>638</v>
      </c>
      <c r="E982" s="12" t="str">
        <f t="shared" si="15"/>
        <v>Centro direita</v>
      </c>
    </row>
    <row r="983" spans="1:5" x14ac:dyDescent="0.3">
      <c r="A983" t="s">
        <v>641</v>
      </c>
      <c r="B983" t="s">
        <v>642</v>
      </c>
      <c r="C983" t="s">
        <v>651</v>
      </c>
      <c r="D983" t="s">
        <v>652</v>
      </c>
      <c r="E983" s="12" t="str">
        <f t="shared" si="15"/>
        <v>Centro direita</v>
      </c>
    </row>
    <row r="984" spans="1:5" x14ac:dyDescent="0.3">
      <c r="A984" t="s">
        <v>641</v>
      </c>
      <c r="B984" t="s">
        <v>642</v>
      </c>
      <c r="C984" t="s">
        <v>653</v>
      </c>
      <c r="D984" t="s">
        <v>654</v>
      </c>
      <c r="E984" s="12" t="str">
        <f t="shared" si="15"/>
        <v>Centro direita</v>
      </c>
    </row>
    <row r="985" spans="1:5" x14ac:dyDescent="0.3">
      <c r="A985" t="s">
        <v>641</v>
      </c>
      <c r="B985" t="s">
        <v>642</v>
      </c>
      <c r="C985" t="s">
        <v>655</v>
      </c>
      <c r="D985" t="s">
        <v>656</v>
      </c>
      <c r="E985" s="12" t="str">
        <f t="shared" si="15"/>
        <v>Centro direita</v>
      </c>
    </row>
    <row r="986" spans="1:5" x14ac:dyDescent="0.3">
      <c r="A986" t="s">
        <v>641</v>
      </c>
      <c r="B986" t="s">
        <v>642</v>
      </c>
      <c r="C986" t="s">
        <v>657</v>
      </c>
      <c r="D986" t="s">
        <v>658</v>
      </c>
      <c r="E986" s="12" t="str">
        <f t="shared" si="15"/>
        <v>Centro direita</v>
      </c>
    </row>
    <row r="987" spans="1:5" x14ac:dyDescent="0.3">
      <c r="A987" t="s">
        <v>641</v>
      </c>
      <c r="B987" t="s">
        <v>642</v>
      </c>
      <c r="C987" t="s">
        <v>377</v>
      </c>
      <c r="D987" t="s">
        <v>378</v>
      </c>
      <c r="E987" s="12" t="str">
        <f t="shared" si="15"/>
        <v>Centro direita</v>
      </c>
    </row>
    <row r="988" spans="1:5" x14ac:dyDescent="0.3">
      <c r="A988" t="s">
        <v>641</v>
      </c>
      <c r="B988" t="s">
        <v>642</v>
      </c>
      <c r="C988" t="s">
        <v>16</v>
      </c>
      <c r="D988" t="s">
        <v>17</v>
      </c>
      <c r="E988" s="12" t="str">
        <f t="shared" si="15"/>
        <v>Centro direita</v>
      </c>
    </row>
    <row r="989" spans="1:5" x14ac:dyDescent="0.3">
      <c r="A989" t="s">
        <v>641</v>
      </c>
      <c r="B989" t="s">
        <v>642</v>
      </c>
      <c r="C989" t="s">
        <v>430</v>
      </c>
      <c r="D989" t="s">
        <v>431</v>
      </c>
      <c r="E989" s="12" t="str">
        <f t="shared" si="15"/>
        <v>Centro direita</v>
      </c>
    </row>
    <row r="990" spans="1:5" x14ac:dyDescent="0.3">
      <c r="A990" t="s">
        <v>641</v>
      </c>
      <c r="B990" t="s">
        <v>642</v>
      </c>
      <c r="C990" t="s">
        <v>243</v>
      </c>
      <c r="D990" t="s">
        <v>244</v>
      </c>
      <c r="E990" s="12" t="str">
        <f t="shared" si="15"/>
        <v>Centro direita</v>
      </c>
    </row>
    <row r="991" spans="1:5" x14ac:dyDescent="0.3">
      <c r="A991" t="s">
        <v>641</v>
      </c>
      <c r="B991" t="s">
        <v>642</v>
      </c>
      <c r="C991" t="s">
        <v>143</v>
      </c>
      <c r="D991" t="s">
        <v>659</v>
      </c>
      <c r="E991" s="12" t="str">
        <f t="shared" si="15"/>
        <v>Centro direita</v>
      </c>
    </row>
    <row r="992" spans="1:5" x14ac:dyDescent="0.3">
      <c r="A992" t="s">
        <v>641</v>
      </c>
      <c r="B992" t="s">
        <v>642</v>
      </c>
      <c r="C992" t="s">
        <v>280</v>
      </c>
      <c r="D992" t="s">
        <v>281</v>
      </c>
      <c r="E992" s="12" t="str">
        <f t="shared" si="15"/>
        <v>Centro direita</v>
      </c>
    </row>
    <row r="993" spans="1:5" x14ac:dyDescent="0.3">
      <c r="A993" t="s">
        <v>641</v>
      </c>
      <c r="B993" t="s">
        <v>642</v>
      </c>
      <c r="C993" t="s">
        <v>472</v>
      </c>
      <c r="D993" t="s">
        <v>473</v>
      </c>
      <c r="E993" s="12" t="str">
        <f t="shared" si="15"/>
        <v>Centro direita</v>
      </c>
    </row>
    <row r="994" spans="1:5" x14ac:dyDescent="0.3">
      <c r="A994" t="s">
        <v>641</v>
      </c>
      <c r="B994" t="s">
        <v>642</v>
      </c>
      <c r="C994" t="s">
        <v>466</v>
      </c>
      <c r="D994" t="s">
        <v>467</v>
      </c>
      <c r="E994" s="12" t="str">
        <f t="shared" si="15"/>
        <v>Centro direita</v>
      </c>
    </row>
    <row r="995" spans="1:5" x14ac:dyDescent="0.3">
      <c r="A995" t="s">
        <v>641</v>
      </c>
      <c r="B995" t="s">
        <v>642</v>
      </c>
      <c r="C995" t="s">
        <v>100</v>
      </c>
      <c r="D995" t="s">
        <v>641</v>
      </c>
      <c r="E995" s="12" t="str">
        <f t="shared" si="15"/>
        <v>Centro direita</v>
      </c>
    </row>
    <row r="996" spans="1:5" x14ac:dyDescent="0.3">
      <c r="A996" t="s">
        <v>641</v>
      </c>
      <c r="B996" t="s">
        <v>642</v>
      </c>
      <c r="C996" t="s">
        <v>64</v>
      </c>
      <c r="D996" t="s">
        <v>65</v>
      </c>
      <c r="E996" s="12" t="str">
        <f t="shared" si="15"/>
        <v>Centro direita</v>
      </c>
    </row>
    <row r="997" spans="1:5" x14ac:dyDescent="0.3">
      <c r="A997" t="s">
        <v>641</v>
      </c>
      <c r="B997" t="s">
        <v>642</v>
      </c>
      <c r="C997" t="s">
        <v>660</v>
      </c>
      <c r="D997" t="s">
        <v>661</v>
      </c>
      <c r="E997" s="12" t="str">
        <f t="shared" si="15"/>
        <v>Centro direita</v>
      </c>
    </row>
    <row r="998" spans="1:5" x14ac:dyDescent="0.3">
      <c r="A998" t="s">
        <v>641</v>
      </c>
      <c r="B998" t="s">
        <v>642</v>
      </c>
      <c r="C998" t="s">
        <v>482</v>
      </c>
      <c r="D998" t="s">
        <v>483</v>
      </c>
      <c r="E998" s="12" t="str">
        <f t="shared" si="15"/>
        <v>Centro direita</v>
      </c>
    </row>
    <row r="999" spans="1:5" x14ac:dyDescent="0.3">
      <c r="A999" t="s">
        <v>641</v>
      </c>
      <c r="B999" t="s">
        <v>642</v>
      </c>
      <c r="C999" t="s">
        <v>621</v>
      </c>
      <c r="D999" t="s">
        <v>622</v>
      </c>
      <c r="E999" s="12" t="str">
        <f t="shared" si="15"/>
        <v>Centro direita</v>
      </c>
    </row>
    <row r="1000" spans="1:5" x14ac:dyDescent="0.3">
      <c r="A1000" t="s">
        <v>641</v>
      </c>
      <c r="B1000" t="s">
        <v>642</v>
      </c>
      <c r="C1000" t="s">
        <v>383</v>
      </c>
      <c r="D1000" t="s">
        <v>384</v>
      </c>
      <c r="E1000" s="12" t="str">
        <f t="shared" si="15"/>
        <v>Centro direita</v>
      </c>
    </row>
    <row r="1001" spans="1:5" x14ac:dyDescent="0.3">
      <c r="A1001" t="s">
        <v>641</v>
      </c>
      <c r="B1001" t="s">
        <v>642</v>
      </c>
      <c r="C1001" t="s">
        <v>662</v>
      </c>
      <c r="D1001" t="s">
        <v>663</v>
      </c>
      <c r="E1001" s="12" t="str">
        <f t="shared" si="15"/>
        <v>Centro direita</v>
      </c>
    </row>
    <row r="1002" spans="1:5" x14ac:dyDescent="0.3">
      <c r="A1002" t="s">
        <v>641</v>
      </c>
      <c r="B1002" t="s">
        <v>642</v>
      </c>
      <c r="C1002" t="s">
        <v>436</v>
      </c>
      <c r="D1002" t="s">
        <v>437</v>
      </c>
      <c r="E1002" s="12" t="str">
        <f t="shared" si="15"/>
        <v>Centro direita</v>
      </c>
    </row>
    <row r="1003" spans="1:5" x14ac:dyDescent="0.3">
      <c r="A1003" t="s">
        <v>641</v>
      </c>
      <c r="B1003" t="s">
        <v>642</v>
      </c>
      <c r="C1003" t="s">
        <v>98</v>
      </c>
      <c r="D1003" t="s">
        <v>99</v>
      </c>
      <c r="E1003" s="12" t="str">
        <f t="shared" si="15"/>
        <v>Centro direita</v>
      </c>
    </row>
    <row r="1004" spans="1:5" x14ac:dyDescent="0.3">
      <c r="A1004" t="s">
        <v>599</v>
      </c>
      <c r="B1004" t="s">
        <v>600</v>
      </c>
      <c r="C1004" t="s">
        <v>490</v>
      </c>
      <c r="D1004" t="s">
        <v>491</v>
      </c>
      <c r="E1004" s="12" t="str">
        <f t="shared" si="15"/>
        <v>Centro</v>
      </c>
    </row>
    <row r="1005" spans="1:5" x14ac:dyDescent="0.3">
      <c r="A1005" t="s">
        <v>599</v>
      </c>
      <c r="B1005" t="s">
        <v>600</v>
      </c>
      <c r="C1005" t="s">
        <v>492</v>
      </c>
      <c r="D1005" t="s">
        <v>493</v>
      </c>
      <c r="E1005" s="12" t="str">
        <f t="shared" si="15"/>
        <v>Centro</v>
      </c>
    </row>
    <row r="1006" spans="1:5" x14ac:dyDescent="0.3">
      <c r="A1006" t="s">
        <v>599</v>
      </c>
      <c r="B1006" t="s">
        <v>600</v>
      </c>
      <c r="C1006" t="s">
        <v>601</v>
      </c>
      <c r="D1006" t="s">
        <v>602</v>
      </c>
      <c r="E1006" s="12" t="str">
        <f t="shared" si="15"/>
        <v>Centro</v>
      </c>
    </row>
    <row r="1007" spans="1:5" x14ac:dyDescent="0.3">
      <c r="A1007" t="s">
        <v>599</v>
      </c>
      <c r="B1007" t="s">
        <v>600</v>
      </c>
      <c r="C1007" t="s">
        <v>603</v>
      </c>
      <c r="D1007" t="s">
        <v>604</v>
      </c>
      <c r="E1007" s="12" t="str">
        <f t="shared" si="15"/>
        <v>Centro</v>
      </c>
    </row>
    <row r="1008" spans="1:5" x14ac:dyDescent="0.3">
      <c r="A1008" t="s">
        <v>599</v>
      </c>
      <c r="B1008" t="s">
        <v>600</v>
      </c>
      <c r="C1008" t="s">
        <v>8</v>
      </c>
      <c r="D1008" t="s">
        <v>9</v>
      </c>
      <c r="E1008" s="12" t="str">
        <f t="shared" si="15"/>
        <v>Centro</v>
      </c>
    </row>
    <row r="1009" spans="1:5" x14ac:dyDescent="0.3">
      <c r="A1009" t="s">
        <v>599</v>
      </c>
      <c r="B1009" t="s">
        <v>600</v>
      </c>
      <c r="C1009" t="s">
        <v>214</v>
      </c>
      <c r="D1009" t="s">
        <v>215</v>
      </c>
      <c r="E1009" s="12" t="str">
        <f t="shared" si="15"/>
        <v>Centro</v>
      </c>
    </row>
    <row r="1010" spans="1:5" x14ac:dyDescent="0.3">
      <c r="A1010" t="s">
        <v>599</v>
      </c>
      <c r="B1010" t="s">
        <v>600</v>
      </c>
      <c r="C1010" t="s">
        <v>14</v>
      </c>
      <c r="D1010" t="s">
        <v>15</v>
      </c>
      <c r="E1010" s="12" t="str">
        <f t="shared" si="15"/>
        <v>Centro</v>
      </c>
    </row>
    <row r="1011" spans="1:5" x14ac:dyDescent="0.3">
      <c r="A1011" t="s">
        <v>599</v>
      </c>
      <c r="B1011" t="s">
        <v>600</v>
      </c>
      <c r="C1011" t="s">
        <v>605</v>
      </c>
      <c r="D1011" t="s">
        <v>606</v>
      </c>
      <c r="E1011" s="12" t="str">
        <f t="shared" si="15"/>
        <v>Centro</v>
      </c>
    </row>
    <row r="1012" spans="1:5" x14ac:dyDescent="0.3">
      <c r="A1012" t="s">
        <v>599</v>
      </c>
      <c r="B1012" t="s">
        <v>600</v>
      </c>
      <c r="C1012" t="s">
        <v>10</v>
      </c>
      <c r="D1012" t="s">
        <v>11</v>
      </c>
      <c r="E1012" s="12" t="str">
        <f t="shared" si="15"/>
        <v>Centro</v>
      </c>
    </row>
    <row r="1013" spans="1:5" x14ac:dyDescent="0.3">
      <c r="A1013" t="s">
        <v>599</v>
      </c>
      <c r="B1013" t="s">
        <v>600</v>
      </c>
      <c r="C1013" t="s">
        <v>340</v>
      </c>
      <c r="D1013" t="s">
        <v>341</v>
      </c>
      <c r="E1013" s="12" t="str">
        <f t="shared" si="15"/>
        <v>Centro</v>
      </c>
    </row>
    <row r="1014" spans="1:5" x14ac:dyDescent="0.3">
      <c r="A1014" t="s">
        <v>599</v>
      </c>
      <c r="B1014" t="s">
        <v>600</v>
      </c>
      <c r="C1014" t="s">
        <v>342</v>
      </c>
      <c r="D1014" t="s">
        <v>341</v>
      </c>
      <c r="E1014" s="12" t="str">
        <f t="shared" si="15"/>
        <v>Centro</v>
      </c>
    </row>
    <row r="1015" spans="1:5" x14ac:dyDescent="0.3">
      <c r="A1015" t="s">
        <v>599</v>
      </c>
      <c r="B1015" t="s">
        <v>600</v>
      </c>
      <c r="C1015" t="s">
        <v>607</v>
      </c>
      <c r="D1015" t="s">
        <v>608</v>
      </c>
      <c r="E1015" s="12" t="str">
        <f t="shared" si="15"/>
        <v>Centro</v>
      </c>
    </row>
    <row r="1016" spans="1:5" x14ac:dyDescent="0.3">
      <c r="A1016" t="s">
        <v>599</v>
      </c>
      <c r="B1016" t="s">
        <v>600</v>
      </c>
      <c r="C1016" t="s">
        <v>400</v>
      </c>
      <c r="D1016" t="s">
        <v>401</v>
      </c>
      <c r="E1016" s="12" t="str">
        <f t="shared" si="15"/>
        <v>Centro</v>
      </c>
    </row>
    <row r="1017" spans="1:5" x14ac:dyDescent="0.3">
      <c r="A1017" t="s">
        <v>599</v>
      </c>
      <c r="B1017" t="s">
        <v>600</v>
      </c>
      <c r="C1017" t="s">
        <v>609</v>
      </c>
      <c r="D1017" t="s">
        <v>610</v>
      </c>
      <c r="E1017" s="12" t="str">
        <f t="shared" si="15"/>
        <v>Centro</v>
      </c>
    </row>
    <row r="1018" spans="1:5" x14ac:dyDescent="0.3">
      <c r="A1018" t="s">
        <v>599</v>
      </c>
      <c r="B1018" t="s">
        <v>600</v>
      </c>
      <c r="C1018" t="s">
        <v>224</v>
      </c>
      <c r="D1018" t="s">
        <v>225</v>
      </c>
      <c r="E1018" s="12" t="str">
        <f t="shared" si="15"/>
        <v>Centro</v>
      </c>
    </row>
    <row r="1019" spans="1:5" x14ac:dyDescent="0.3">
      <c r="A1019" t="s">
        <v>599</v>
      </c>
      <c r="B1019" t="s">
        <v>600</v>
      </c>
      <c r="C1019" t="s">
        <v>611</v>
      </c>
      <c r="D1019" t="s">
        <v>612</v>
      </c>
      <c r="E1019" s="12" t="str">
        <f t="shared" si="15"/>
        <v>Centro</v>
      </c>
    </row>
    <row r="1020" spans="1:5" x14ac:dyDescent="0.3">
      <c r="A1020" t="s">
        <v>599</v>
      </c>
      <c r="B1020" t="s">
        <v>600</v>
      </c>
      <c r="C1020" t="s">
        <v>20</v>
      </c>
      <c r="D1020" t="s">
        <v>21</v>
      </c>
      <c r="E1020" s="12" t="str">
        <f t="shared" si="15"/>
        <v>Centro</v>
      </c>
    </row>
    <row r="1021" spans="1:5" x14ac:dyDescent="0.3">
      <c r="A1021" t="s">
        <v>599</v>
      </c>
      <c r="B1021" t="s">
        <v>600</v>
      </c>
      <c r="C1021" t="s">
        <v>349</v>
      </c>
      <c r="D1021" t="s">
        <v>350</v>
      </c>
      <c r="E1021" s="12" t="str">
        <f t="shared" si="15"/>
        <v>Centro</v>
      </c>
    </row>
    <row r="1022" spans="1:5" x14ac:dyDescent="0.3">
      <c r="A1022" t="s">
        <v>599</v>
      </c>
      <c r="B1022" t="s">
        <v>600</v>
      </c>
      <c r="C1022" t="s">
        <v>450</v>
      </c>
      <c r="D1022" t="s">
        <v>451</v>
      </c>
      <c r="E1022" s="12" t="str">
        <f t="shared" si="15"/>
        <v>Centro</v>
      </c>
    </row>
    <row r="1023" spans="1:5" x14ac:dyDescent="0.3">
      <c r="A1023" t="s">
        <v>599</v>
      </c>
      <c r="B1023" t="s">
        <v>600</v>
      </c>
      <c r="C1023" t="s">
        <v>426</v>
      </c>
      <c r="D1023" t="s">
        <v>427</v>
      </c>
      <c r="E1023" s="12" t="str">
        <f t="shared" si="15"/>
        <v>Centro</v>
      </c>
    </row>
    <row r="1024" spans="1:5" x14ac:dyDescent="0.3">
      <c r="A1024" t="s">
        <v>599</v>
      </c>
      <c r="B1024" t="s">
        <v>600</v>
      </c>
      <c r="C1024" t="s">
        <v>302</v>
      </c>
      <c r="D1024" t="s">
        <v>303</v>
      </c>
      <c r="E1024" s="12" t="str">
        <f t="shared" si="15"/>
        <v>Centro</v>
      </c>
    </row>
    <row r="1025" spans="1:5" x14ac:dyDescent="0.3">
      <c r="A1025" t="s">
        <v>599</v>
      </c>
      <c r="B1025" t="s">
        <v>600</v>
      </c>
      <c r="C1025" t="s">
        <v>304</v>
      </c>
      <c r="D1025" t="s">
        <v>305</v>
      </c>
      <c r="E1025" s="12" t="str">
        <f t="shared" si="15"/>
        <v>Centro</v>
      </c>
    </row>
    <row r="1026" spans="1:5" x14ac:dyDescent="0.3">
      <c r="A1026" t="s">
        <v>599</v>
      </c>
      <c r="B1026" t="s">
        <v>600</v>
      </c>
      <c r="C1026" t="s">
        <v>613</v>
      </c>
      <c r="D1026" t="s">
        <v>614</v>
      </c>
      <c r="E1026" s="12" t="str">
        <f t="shared" si="15"/>
        <v>Centro</v>
      </c>
    </row>
    <row r="1027" spans="1:5" x14ac:dyDescent="0.3">
      <c r="A1027" t="s">
        <v>599</v>
      </c>
      <c r="B1027" t="s">
        <v>600</v>
      </c>
      <c r="C1027" t="s">
        <v>40</v>
      </c>
      <c r="D1027" t="s">
        <v>41</v>
      </c>
      <c r="E1027" s="12" t="str">
        <f t="shared" ref="E1027:E1090" si="16">IF(INDEX(K:K,MATCH(A1027,I:I,0))&lt;&gt;0,INDEX(K:K,MATCH(A1027,I:I,0)),"")</f>
        <v>Centro</v>
      </c>
    </row>
    <row r="1028" spans="1:5" x14ac:dyDescent="0.3">
      <c r="A1028" t="s">
        <v>599</v>
      </c>
      <c r="B1028" t="s">
        <v>600</v>
      </c>
      <c r="C1028" t="s">
        <v>241</v>
      </c>
      <c r="D1028" t="s">
        <v>242</v>
      </c>
      <c r="E1028" s="12" t="str">
        <f t="shared" si="16"/>
        <v>Centro</v>
      </c>
    </row>
    <row r="1029" spans="1:5" x14ac:dyDescent="0.3">
      <c r="A1029" t="s">
        <v>599</v>
      </c>
      <c r="B1029" t="s">
        <v>600</v>
      </c>
      <c r="C1029" t="s">
        <v>16</v>
      </c>
      <c r="D1029" t="s">
        <v>17</v>
      </c>
      <c r="E1029" s="12" t="str">
        <f t="shared" si="16"/>
        <v>Centro</v>
      </c>
    </row>
    <row r="1030" spans="1:5" x14ac:dyDescent="0.3">
      <c r="A1030" t="s">
        <v>599</v>
      </c>
      <c r="B1030" t="s">
        <v>600</v>
      </c>
      <c r="C1030" t="s">
        <v>80</v>
      </c>
      <c r="D1030" t="s">
        <v>81</v>
      </c>
      <c r="E1030" s="12" t="str">
        <f t="shared" si="16"/>
        <v>Centro</v>
      </c>
    </row>
    <row r="1031" spans="1:5" x14ac:dyDescent="0.3">
      <c r="A1031" t="s">
        <v>599</v>
      </c>
      <c r="B1031" t="s">
        <v>600</v>
      </c>
      <c r="C1031" t="s">
        <v>615</v>
      </c>
      <c r="D1031" t="s">
        <v>616</v>
      </c>
      <c r="E1031" s="12" t="str">
        <f t="shared" si="16"/>
        <v>Centro</v>
      </c>
    </row>
    <row r="1032" spans="1:5" x14ac:dyDescent="0.3">
      <c r="A1032" t="s">
        <v>599</v>
      </c>
      <c r="B1032" t="s">
        <v>600</v>
      </c>
      <c r="C1032" t="s">
        <v>617</v>
      </c>
      <c r="D1032" t="s">
        <v>618</v>
      </c>
      <c r="E1032" s="12" t="str">
        <f t="shared" si="16"/>
        <v>Centro</v>
      </c>
    </row>
    <row r="1033" spans="1:5" x14ac:dyDescent="0.3">
      <c r="A1033" t="s">
        <v>599</v>
      </c>
      <c r="B1033" t="s">
        <v>600</v>
      </c>
      <c r="C1033" t="s">
        <v>251</v>
      </c>
      <c r="D1033" t="s">
        <v>252</v>
      </c>
      <c r="E1033" s="12" t="str">
        <f t="shared" si="16"/>
        <v>Centro</v>
      </c>
    </row>
    <row r="1034" spans="1:5" x14ac:dyDescent="0.3">
      <c r="A1034" t="s">
        <v>599</v>
      </c>
      <c r="B1034" t="s">
        <v>600</v>
      </c>
      <c r="C1034" t="s">
        <v>249</v>
      </c>
      <c r="D1034" t="s">
        <v>250</v>
      </c>
      <c r="E1034" s="12" t="str">
        <f t="shared" si="16"/>
        <v>Centro</v>
      </c>
    </row>
    <row r="1035" spans="1:5" x14ac:dyDescent="0.3">
      <c r="A1035" t="s">
        <v>599</v>
      </c>
      <c r="B1035" t="s">
        <v>600</v>
      </c>
      <c r="C1035" t="s">
        <v>32</v>
      </c>
      <c r="D1035" t="s">
        <v>33</v>
      </c>
      <c r="E1035" s="12" t="str">
        <f t="shared" si="16"/>
        <v>Centro</v>
      </c>
    </row>
    <row r="1036" spans="1:5" x14ac:dyDescent="0.3">
      <c r="A1036" t="s">
        <v>599</v>
      </c>
      <c r="B1036" t="s">
        <v>600</v>
      </c>
      <c r="C1036" t="s">
        <v>448</v>
      </c>
      <c r="D1036" t="s">
        <v>449</v>
      </c>
      <c r="E1036" s="12" t="str">
        <f t="shared" si="16"/>
        <v>Centro</v>
      </c>
    </row>
    <row r="1037" spans="1:5" x14ac:dyDescent="0.3">
      <c r="A1037" t="s">
        <v>599</v>
      </c>
      <c r="B1037" t="s">
        <v>600</v>
      </c>
      <c r="C1037" t="s">
        <v>619</v>
      </c>
      <c r="D1037" t="s">
        <v>620</v>
      </c>
      <c r="E1037" s="12" t="str">
        <f t="shared" si="16"/>
        <v>Centro</v>
      </c>
    </row>
    <row r="1038" spans="1:5" x14ac:dyDescent="0.3">
      <c r="A1038" t="s">
        <v>599</v>
      </c>
      <c r="B1038" t="s">
        <v>600</v>
      </c>
      <c r="C1038" t="s">
        <v>621</v>
      </c>
      <c r="D1038" t="s">
        <v>622</v>
      </c>
      <c r="E1038" s="12" t="str">
        <f t="shared" si="16"/>
        <v>Centro</v>
      </c>
    </row>
    <row r="1039" spans="1:5" x14ac:dyDescent="0.3">
      <c r="A1039" t="s">
        <v>599</v>
      </c>
      <c r="B1039" t="s">
        <v>600</v>
      </c>
      <c r="C1039" t="s">
        <v>90</v>
      </c>
      <c r="D1039" t="s">
        <v>91</v>
      </c>
      <c r="E1039" s="12" t="str">
        <f t="shared" si="16"/>
        <v>Centro</v>
      </c>
    </row>
    <row r="1040" spans="1:5" x14ac:dyDescent="0.3">
      <c r="A1040" t="s">
        <v>599</v>
      </c>
      <c r="B1040" t="s">
        <v>600</v>
      </c>
      <c r="C1040" t="s">
        <v>623</v>
      </c>
      <c r="D1040" t="s">
        <v>624</v>
      </c>
      <c r="E1040" s="12" t="str">
        <f t="shared" si="16"/>
        <v>Centro</v>
      </c>
    </row>
    <row r="1041" spans="1:5" x14ac:dyDescent="0.3">
      <c r="A1041" t="s">
        <v>599</v>
      </c>
      <c r="B1041" t="s">
        <v>600</v>
      </c>
      <c r="C1041" t="s">
        <v>476</v>
      </c>
      <c r="D1041" t="s">
        <v>477</v>
      </c>
      <c r="E1041" s="12" t="str">
        <f t="shared" si="16"/>
        <v>Centro</v>
      </c>
    </row>
    <row r="1042" spans="1:5" x14ac:dyDescent="0.3">
      <c r="A1042" t="s">
        <v>599</v>
      </c>
      <c r="B1042" t="s">
        <v>600</v>
      </c>
      <c r="C1042" t="s">
        <v>625</v>
      </c>
      <c r="D1042" t="s">
        <v>626</v>
      </c>
      <c r="E1042" s="12" t="str">
        <f t="shared" si="16"/>
        <v>Centro</v>
      </c>
    </row>
    <row r="1043" spans="1:5" x14ac:dyDescent="0.3">
      <c r="A1043" t="s">
        <v>599</v>
      </c>
      <c r="B1043" t="s">
        <v>600</v>
      </c>
      <c r="C1043" t="s">
        <v>627</v>
      </c>
      <c r="D1043" t="s">
        <v>628</v>
      </c>
      <c r="E1043" s="12" t="str">
        <f t="shared" si="16"/>
        <v>Centro</v>
      </c>
    </row>
    <row r="1044" spans="1:5" x14ac:dyDescent="0.3">
      <c r="A1044" t="s">
        <v>599</v>
      </c>
      <c r="B1044" t="s">
        <v>600</v>
      </c>
      <c r="C1044" t="s">
        <v>320</v>
      </c>
      <c r="D1044" t="s">
        <v>321</v>
      </c>
      <c r="E1044" s="12" t="str">
        <f t="shared" si="16"/>
        <v>Centro</v>
      </c>
    </row>
    <row r="1045" spans="1:5" x14ac:dyDescent="0.3">
      <c r="A1045" t="s">
        <v>599</v>
      </c>
      <c r="B1045" t="s">
        <v>600</v>
      </c>
      <c r="C1045" t="s">
        <v>629</v>
      </c>
      <c r="D1045" t="s">
        <v>630</v>
      </c>
      <c r="E1045" s="12" t="str">
        <f t="shared" si="16"/>
        <v>Centro</v>
      </c>
    </row>
    <row r="1046" spans="1:5" x14ac:dyDescent="0.3">
      <c r="A1046" t="s">
        <v>599</v>
      </c>
      <c r="B1046" t="s">
        <v>600</v>
      </c>
      <c r="C1046" t="s">
        <v>257</v>
      </c>
      <c r="D1046" t="s">
        <v>258</v>
      </c>
      <c r="E1046" s="12" t="str">
        <f t="shared" si="16"/>
        <v>Centro</v>
      </c>
    </row>
    <row r="1047" spans="1:5" x14ac:dyDescent="0.3">
      <c r="A1047" t="s">
        <v>599</v>
      </c>
      <c r="B1047" t="s">
        <v>600</v>
      </c>
      <c r="C1047" t="s">
        <v>180</v>
      </c>
      <c r="D1047" t="s">
        <v>181</v>
      </c>
      <c r="E1047" s="12" t="str">
        <f t="shared" si="16"/>
        <v>Centro</v>
      </c>
    </row>
    <row r="1048" spans="1:5" x14ac:dyDescent="0.3">
      <c r="A1048" t="s">
        <v>599</v>
      </c>
      <c r="B1048" t="s">
        <v>600</v>
      </c>
      <c r="C1048" t="s">
        <v>631</v>
      </c>
      <c r="D1048" t="s">
        <v>632</v>
      </c>
      <c r="E1048" s="12" t="str">
        <f t="shared" si="16"/>
        <v>Centro</v>
      </c>
    </row>
    <row r="1049" spans="1:5" x14ac:dyDescent="0.3">
      <c r="A1049" t="s">
        <v>599</v>
      </c>
      <c r="B1049" t="s">
        <v>600</v>
      </c>
      <c r="C1049" t="s">
        <v>182</v>
      </c>
      <c r="D1049" t="s">
        <v>183</v>
      </c>
      <c r="E1049" s="12" t="str">
        <f t="shared" si="16"/>
        <v>Centro</v>
      </c>
    </row>
    <row r="1050" spans="1:5" x14ac:dyDescent="0.3">
      <c r="A1050" t="s">
        <v>599</v>
      </c>
      <c r="B1050" t="s">
        <v>600</v>
      </c>
      <c r="C1050" t="s">
        <v>633</v>
      </c>
      <c r="D1050" t="s">
        <v>634</v>
      </c>
      <c r="E1050" s="12" t="str">
        <f t="shared" si="16"/>
        <v>Centro</v>
      </c>
    </row>
    <row r="1051" spans="1:5" x14ac:dyDescent="0.3">
      <c r="A1051" t="s">
        <v>599</v>
      </c>
      <c r="B1051" t="s">
        <v>600</v>
      </c>
      <c r="C1051" t="s">
        <v>184</v>
      </c>
      <c r="D1051" t="s">
        <v>185</v>
      </c>
      <c r="E1051" s="12" t="str">
        <f t="shared" si="16"/>
        <v>Centro</v>
      </c>
    </row>
    <row r="1052" spans="1:5" x14ac:dyDescent="0.3">
      <c r="A1052" t="s">
        <v>599</v>
      </c>
      <c r="B1052" t="s">
        <v>600</v>
      </c>
      <c r="C1052" t="s">
        <v>336</v>
      </c>
      <c r="D1052" t="s">
        <v>337</v>
      </c>
      <c r="E1052" s="12" t="str">
        <f t="shared" si="16"/>
        <v>Centro</v>
      </c>
    </row>
    <row r="1053" spans="1:5" x14ac:dyDescent="0.3">
      <c r="A1053" t="s">
        <v>599</v>
      </c>
      <c r="B1053" t="s">
        <v>600</v>
      </c>
      <c r="C1053" t="s">
        <v>100</v>
      </c>
      <c r="D1053" t="s">
        <v>599</v>
      </c>
      <c r="E1053" s="12" t="str">
        <f t="shared" si="16"/>
        <v>Centro</v>
      </c>
    </row>
    <row r="1054" spans="1:5" x14ac:dyDescent="0.3">
      <c r="A1054" t="s">
        <v>599</v>
      </c>
      <c r="B1054" t="s">
        <v>600</v>
      </c>
      <c r="C1054" t="s">
        <v>86</v>
      </c>
      <c r="D1054" t="s">
        <v>87</v>
      </c>
      <c r="E1054" s="12" t="str">
        <f t="shared" si="16"/>
        <v>Centro</v>
      </c>
    </row>
    <row r="1055" spans="1:5" x14ac:dyDescent="0.3">
      <c r="A1055" t="s">
        <v>599</v>
      </c>
      <c r="B1055" t="s">
        <v>600</v>
      </c>
      <c r="C1055" t="s">
        <v>529</v>
      </c>
      <c r="D1055" t="s">
        <v>530</v>
      </c>
      <c r="E1055" s="12" t="str">
        <f t="shared" si="16"/>
        <v>Centro</v>
      </c>
    </row>
    <row r="1056" spans="1:5" x14ac:dyDescent="0.3">
      <c r="A1056" t="s">
        <v>599</v>
      </c>
      <c r="B1056" t="s">
        <v>600</v>
      </c>
      <c r="C1056" t="s">
        <v>410</v>
      </c>
      <c r="D1056" t="s">
        <v>411</v>
      </c>
      <c r="E1056" s="12" t="str">
        <f t="shared" si="16"/>
        <v>Centro</v>
      </c>
    </row>
    <row r="1057" spans="1:5" x14ac:dyDescent="0.3">
      <c r="A1057" t="s">
        <v>599</v>
      </c>
      <c r="B1057" t="s">
        <v>600</v>
      </c>
      <c r="C1057" t="s">
        <v>330</v>
      </c>
      <c r="D1057" t="s">
        <v>331</v>
      </c>
      <c r="E1057" s="12" t="str">
        <f t="shared" si="16"/>
        <v>Centro</v>
      </c>
    </row>
    <row r="1058" spans="1:5" x14ac:dyDescent="0.3">
      <c r="A1058" t="s">
        <v>599</v>
      </c>
      <c r="B1058" t="s">
        <v>600</v>
      </c>
      <c r="C1058" t="s">
        <v>635</v>
      </c>
      <c r="D1058" t="s">
        <v>636</v>
      </c>
      <c r="E1058" s="12" t="str">
        <f t="shared" si="16"/>
        <v>Centro</v>
      </c>
    </row>
    <row r="1059" spans="1:5" x14ac:dyDescent="0.3">
      <c r="A1059" t="s">
        <v>599</v>
      </c>
      <c r="B1059" t="s">
        <v>600</v>
      </c>
      <c r="C1059" t="s">
        <v>637</v>
      </c>
      <c r="D1059" t="s">
        <v>638</v>
      </c>
      <c r="E1059" s="12" t="str">
        <f t="shared" si="16"/>
        <v>Centro</v>
      </c>
    </row>
    <row r="1060" spans="1:5" x14ac:dyDescent="0.3">
      <c r="A1060" t="s">
        <v>599</v>
      </c>
      <c r="B1060" t="s">
        <v>600</v>
      </c>
      <c r="C1060" t="s">
        <v>270</v>
      </c>
      <c r="D1060" t="s">
        <v>271</v>
      </c>
      <c r="E1060" s="12" t="str">
        <f t="shared" si="16"/>
        <v>Centro</v>
      </c>
    </row>
    <row r="1061" spans="1:5" x14ac:dyDescent="0.3">
      <c r="A1061" t="s">
        <v>599</v>
      </c>
      <c r="B1061" t="s">
        <v>600</v>
      </c>
      <c r="C1061" t="s">
        <v>639</v>
      </c>
      <c r="D1061" t="s">
        <v>640</v>
      </c>
      <c r="E1061" s="12" t="str">
        <f t="shared" si="16"/>
        <v>Centro</v>
      </c>
    </row>
    <row r="1062" spans="1:5" x14ac:dyDescent="0.3">
      <c r="A1062" t="s">
        <v>599</v>
      </c>
      <c r="B1062" t="s">
        <v>600</v>
      </c>
      <c r="C1062" t="s">
        <v>76</v>
      </c>
      <c r="D1062" t="s">
        <v>77</v>
      </c>
      <c r="E1062" s="12" t="str">
        <f t="shared" si="16"/>
        <v>Centro</v>
      </c>
    </row>
    <row r="1063" spans="1:5" x14ac:dyDescent="0.3">
      <c r="A1063" t="s">
        <v>831</v>
      </c>
      <c r="B1063" t="s">
        <v>832</v>
      </c>
      <c r="C1063" t="s">
        <v>208</v>
      </c>
      <c r="D1063" t="s">
        <v>209</v>
      </c>
      <c r="E1063" s="12" t="str">
        <f t="shared" si="16"/>
        <v>Centro esquerda</v>
      </c>
    </row>
    <row r="1064" spans="1:5" x14ac:dyDescent="0.3">
      <c r="A1064" t="s">
        <v>831</v>
      </c>
      <c r="B1064" t="s">
        <v>832</v>
      </c>
      <c r="C1064" t="s">
        <v>210</v>
      </c>
      <c r="D1064" t="s">
        <v>211</v>
      </c>
      <c r="E1064" s="12" t="str">
        <f t="shared" si="16"/>
        <v>Centro esquerda</v>
      </c>
    </row>
    <row r="1065" spans="1:5" x14ac:dyDescent="0.3">
      <c r="A1065" t="s">
        <v>831</v>
      </c>
      <c r="B1065" t="s">
        <v>832</v>
      </c>
      <c r="C1065" t="s">
        <v>494</v>
      </c>
      <c r="D1065" t="s">
        <v>495</v>
      </c>
      <c r="E1065" s="12" t="str">
        <f t="shared" si="16"/>
        <v>Centro esquerda</v>
      </c>
    </row>
    <row r="1066" spans="1:5" x14ac:dyDescent="0.3">
      <c r="A1066" t="s">
        <v>831</v>
      </c>
      <c r="B1066" t="s">
        <v>832</v>
      </c>
      <c r="C1066" t="s">
        <v>532</v>
      </c>
      <c r="D1066" t="s">
        <v>533</v>
      </c>
      <c r="E1066" s="12" t="str">
        <f t="shared" si="16"/>
        <v>Centro esquerda</v>
      </c>
    </row>
    <row r="1067" spans="1:5" x14ac:dyDescent="0.3">
      <c r="A1067" t="s">
        <v>831</v>
      </c>
      <c r="B1067" t="s">
        <v>832</v>
      </c>
      <c r="C1067" t="s">
        <v>76</v>
      </c>
      <c r="D1067" t="s">
        <v>77</v>
      </c>
      <c r="E1067" s="12" t="str">
        <f t="shared" si="16"/>
        <v>Centro esquerda</v>
      </c>
    </row>
    <row r="1068" spans="1:5" x14ac:dyDescent="0.3">
      <c r="A1068" t="s">
        <v>831</v>
      </c>
      <c r="B1068" t="s">
        <v>832</v>
      </c>
      <c r="C1068" t="s">
        <v>645</v>
      </c>
      <c r="D1068" t="s">
        <v>646</v>
      </c>
      <c r="E1068" s="12" t="str">
        <f t="shared" si="16"/>
        <v>Centro esquerda</v>
      </c>
    </row>
    <row r="1069" spans="1:5" x14ac:dyDescent="0.3">
      <c r="A1069" t="s">
        <v>831</v>
      </c>
      <c r="B1069" t="s">
        <v>832</v>
      </c>
      <c r="C1069" t="s">
        <v>833</v>
      </c>
      <c r="D1069" t="s">
        <v>834</v>
      </c>
      <c r="E1069" s="12" t="str">
        <f t="shared" si="16"/>
        <v>Centro esquerda</v>
      </c>
    </row>
    <row r="1070" spans="1:5" x14ac:dyDescent="0.3">
      <c r="A1070" t="s">
        <v>831</v>
      </c>
      <c r="B1070" t="s">
        <v>832</v>
      </c>
      <c r="C1070" t="s">
        <v>498</v>
      </c>
      <c r="D1070" t="s">
        <v>499</v>
      </c>
      <c r="E1070" s="12" t="str">
        <f t="shared" si="16"/>
        <v>Centro esquerda</v>
      </c>
    </row>
    <row r="1071" spans="1:5" x14ac:dyDescent="0.3">
      <c r="A1071" t="s">
        <v>831</v>
      </c>
      <c r="B1071" t="s">
        <v>832</v>
      </c>
      <c r="C1071" t="s">
        <v>396</v>
      </c>
      <c r="D1071" t="s">
        <v>397</v>
      </c>
      <c r="E1071" s="12" t="str">
        <f t="shared" si="16"/>
        <v>Centro esquerda</v>
      </c>
    </row>
    <row r="1072" spans="1:5" x14ac:dyDescent="0.3">
      <c r="A1072" t="s">
        <v>831</v>
      </c>
      <c r="B1072" t="s">
        <v>832</v>
      </c>
      <c r="C1072" t="s">
        <v>398</v>
      </c>
      <c r="D1072" t="s">
        <v>399</v>
      </c>
      <c r="E1072" s="12" t="str">
        <f t="shared" si="16"/>
        <v>Centro esquerda</v>
      </c>
    </row>
    <row r="1073" spans="1:5" x14ac:dyDescent="0.3">
      <c r="A1073" t="s">
        <v>831</v>
      </c>
      <c r="B1073" t="s">
        <v>832</v>
      </c>
      <c r="C1073" t="s">
        <v>835</v>
      </c>
      <c r="D1073" t="s">
        <v>836</v>
      </c>
      <c r="E1073" s="12" t="str">
        <f t="shared" si="16"/>
        <v>Centro esquerda</v>
      </c>
    </row>
    <row r="1074" spans="1:5" x14ac:dyDescent="0.3">
      <c r="A1074" t="s">
        <v>831</v>
      </c>
      <c r="B1074" t="s">
        <v>832</v>
      </c>
      <c r="C1074" t="s">
        <v>10</v>
      </c>
      <c r="D1074" t="s">
        <v>11</v>
      </c>
      <c r="E1074" s="12" t="str">
        <f t="shared" si="16"/>
        <v>Centro esquerda</v>
      </c>
    </row>
    <row r="1075" spans="1:5" x14ac:dyDescent="0.3">
      <c r="A1075" t="s">
        <v>831</v>
      </c>
      <c r="B1075" t="s">
        <v>832</v>
      </c>
      <c r="C1075" t="s">
        <v>694</v>
      </c>
      <c r="D1075" t="s">
        <v>399</v>
      </c>
      <c r="E1075" s="12" t="str">
        <f t="shared" si="16"/>
        <v>Centro esquerda</v>
      </c>
    </row>
    <row r="1076" spans="1:5" x14ac:dyDescent="0.3">
      <c r="A1076" t="s">
        <v>831</v>
      </c>
      <c r="B1076" t="s">
        <v>832</v>
      </c>
      <c r="C1076" t="s">
        <v>280</v>
      </c>
      <c r="D1076" t="s">
        <v>281</v>
      </c>
      <c r="E1076" s="12" t="str">
        <f t="shared" si="16"/>
        <v>Centro esquerda</v>
      </c>
    </row>
    <row r="1077" spans="1:5" x14ac:dyDescent="0.3">
      <c r="A1077" t="s">
        <v>831</v>
      </c>
      <c r="B1077" t="s">
        <v>832</v>
      </c>
      <c r="C1077" t="s">
        <v>772</v>
      </c>
      <c r="D1077" t="s">
        <v>773</v>
      </c>
      <c r="E1077" s="12" t="str">
        <f t="shared" si="16"/>
        <v>Centro esquerda</v>
      </c>
    </row>
    <row r="1078" spans="1:5" x14ac:dyDescent="0.3">
      <c r="A1078" t="s">
        <v>831</v>
      </c>
      <c r="B1078" t="s">
        <v>832</v>
      </c>
      <c r="C1078" t="s">
        <v>538</v>
      </c>
      <c r="D1078" t="s">
        <v>539</v>
      </c>
      <c r="E1078" s="12" t="str">
        <f t="shared" si="16"/>
        <v>Centro esquerda</v>
      </c>
    </row>
    <row r="1079" spans="1:5" x14ac:dyDescent="0.3">
      <c r="A1079" t="s">
        <v>831</v>
      </c>
      <c r="B1079" t="s">
        <v>832</v>
      </c>
      <c r="C1079" t="s">
        <v>139</v>
      </c>
      <c r="D1079" t="s">
        <v>140</v>
      </c>
      <c r="E1079" s="12" t="str">
        <f t="shared" si="16"/>
        <v>Centro esquerda</v>
      </c>
    </row>
    <row r="1080" spans="1:5" x14ac:dyDescent="0.3">
      <c r="A1080" t="s">
        <v>831</v>
      </c>
      <c r="B1080" t="s">
        <v>832</v>
      </c>
      <c r="C1080" t="s">
        <v>639</v>
      </c>
      <c r="D1080" t="s">
        <v>640</v>
      </c>
      <c r="E1080" s="12" t="str">
        <f t="shared" si="16"/>
        <v>Centro esquerda</v>
      </c>
    </row>
    <row r="1081" spans="1:5" x14ac:dyDescent="0.3">
      <c r="A1081" t="s">
        <v>831</v>
      </c>
      <c r="B1081" t="s">
        <v>832</v>
      </c>
      <c r="C1081" t="s">
        <v>159</v>
      </c>
      <c r="D1081" t="s">
        <v>160</v>
      </c>
      <c r="E1081" s="12" t="str">
        <f t="shared" si="16"/>
        <v>Centro esquerda</v>
      </c>
    </row>
    <row r="1082" spans="1:5" x14ac:dyDescent="0.3">
      <c r="A1082" t="s">
        <v>831</v>
      </c>
      <c r="B1082" t="s">
        <v>832</v>
      </c>
      <c r="C1082" t="s">
        <v>400</v>
      </c>
      <c r="D1082" t="s">
        <v>401</v>
      </c>
      <c r="E1082" s="12" t="str">
        <f t="shared" si="16"/>
        <v>Centro esquerda</v>
      </c>
    </row>
    <row r="1083" spans="1:5" x14ac:dyDescent="0.3">
      <c r="A1083" t="s">
        <v>831</v>
      </c>
      <c r="B1083" t="s">
        <v>832</v>
      </c>
      <c r="C1083" t="s">
        <v>402</v>
      </c>
      <c r="D1083" t="s">
        <v>403</v>
      </c>
      <c r="E1083" s="12" t="str">
        <f t="shared" si="16"/>
        <v>Centro esquerda</v>
      </c>
    </row>
    <row r="1084" spans="1:5" x14ac:dyDescent="0.3">
      <c r="A1084" t="s">
        <v>831</v>
      </c>
      <c r="B1084" t="s">
        <v>832</v>
      </c>
      <c r="C1084" t="s">
        <v>442</v>
      </c>
      <c r="D1084" t="s">
        <v>443</v>
      </c>
      <c r="E1084" s="12" t="str">
        <f t="shared" si="16"/>
        <v>Centro esquerda</v>
      </c>
    </row>
    <row r="1085" spans="1:5" x14ac:dyDescent="0.3">
      <c r="A1085" t="s">
        <v>831</v>
      </c>
      <c r="B1085" t="s">
        <v>832</v>
      </c>
      <c r="C1085" t="s">
        <v>461</v>
      </c>
      <c r="D1085" t="s">
        <v>462</v>
      </c>
      <c r="E1085" s="12" t="str">
        <f t="shared" si="16"/>
        <v>Centro esquerda</v>
      </c>
    </row>
    <row r="1086" spans="1:5" x14ac:dyDescent="0.3">
      <c r="A1086" t="s">
        <v>831</v>
      </c>
      <c r="B1086" t="s">
        <v>832</v>
      </c>
      <c r="C1086" t="s">
        <v>463</v>
      </c>
      <c r="D1086" t="s">
        <v>460</v>
      </c>
      <c r="E1086" s="12" t="str">
        <f t="shared" si="16"/>
        <v>Centro esquerda</v>
      </c>
    </row>
    <row r="1087" spans="1:5" x14ac:dyDescent="0.3">
      <c r="A1087" t="s">
        <v>831</v>
      </c>
      <c r="B1087" t="s">
        <v>832</v>
      </c>
      <c r="C1087" t="s">
        <v>674</v>
      </c>
      <c r="D1087" t="s">
        <v>675</v>
      </c>
      <c r="E1087" s="12" t="str">
        <f t="shared" si="16"/>
        <v>Centro esquerda</v>
      </c>
    </row>
    <row r="1088" spans="1:5" x14ac:dyDescent="0.3">
      <c r="A1088" t="s">
        <v>831</v>
      </c>
      <c r="B1088" t="s">
        <v>832</v>
      </c>
      <c r="C1088" t="s">
        <v>34</v>
      </c>
      <c r="D1088" t="s">
        <v>35</v>
      </c>
      <c r="E1088" s="12" t="str">
        <f t="shared" si="16"/>
        <v>Centro esquerda</v>
      </c>
    </row>
    <row r="1089" spans="1:5" x14ac:dyDescent="0.3">
      <c r="A1089" t="s">
        <v>831</v>
      </c>
      <c r="B1089" t="s">
        <v>832</v>
      </c>
      <c r="C1089" t="s">
        <v>701</v>
      </c>
      <c r="D1089" t="s">
        <v>702</v>
      </c>
      <c r="E1089" s="12" t="str">
        <f t="shared" si="16"/>
        <v>Centro esquerda</v>
      </c>
    </row>
    <row r="1090" spans="1:5" x14ac:dyDescent="0.3">
      <c r="A1090" t="s">
        <v>831</v>
      </c>
      <c r="B1090" t="s">
        <v>832</v>
      </c>
      <c r="C1090" t="s">
        <v>304</v>
      </c>
      <c r="D1090" t="s">
        <v>305</v>
      </c>
      <c r="E1090" s="12" t="str">
        <f t="shared" si="16"/>
        <v>Centro esquerda</v>
      </c>
    </row>
    <row r="1091" spans="1:5" x14ac:dyDescent="0.3">
      <c r="A1091" t="s">
        <v>831</v>
      </c>
      <c r="B1091" t="s">
        <v>832</v>
      </c>
      <c r="C1091" t="s">
        <v>153</v>
      </c>
      <c r="D1091" t="s">
        <v>154</v>
      </c>
      <c r="E1091" s="12" t="str">
        <f t="shared" ref="E1091:E1154" si="17">IF(INDEX(K:K,MATCH(A1091,I:I,0))&lt;&gt;0,INDEX(K:K,MATCH(A1091,I:I,0)),"")</f>
        <v>Centro esquerda</v>
      </c>
    </row>
    <row r="1092" spans="1:5" x14ac:dyDescent="0.3">
      <c r="A1092" t="s">
        <v>831</v>
      </c>
      <c r="B1092" t="s">
        <v>832</v>
      </c>
      <c r="C1092" t="s">
        <v>613</v>
      </c>
      <c r="D1092" t="s">
        <v>614</v>
      </c>
      <c r="E1092" s="12" t="str">
        <f t="shared" si="17"/>
        <v>Centro esquerda</v>
      </c>
    </row>
    <row r="1093" spans="1:5" x14ac:dyDescent="0.3">
      <c r="A1093" t="s">
        <v>831</v>
      </c>
      <c r="B1093" t="s">
        <v>832</v>
      </c>
      <c r="C1093" t="s">
        <v>837</v>
      </c>
      <c r="D1093" t="s">
        <v>838</v>
      </c>
      <c r="E1093" s="12" t="str">
        <f t="shared" si="17"/>
        <v>Centro esquerda</v>
      </c>
    </row>
    <row r="1094" spans="1:5" x14ac:dyDescent="0.3">
      <c r="A1094" t="s">
        <v>831</v>
      </c>
      <c r="B1094" t="s">
        <v>832</v>
      </c>
      <c r="C1094" t="s">
        <v>90</v>
      </c>
      <c r="D1094" t="s">
        <v>91</v>
      </c>
      <c r="E1094" s="12" t="str">
        <f t="shared" si="17"/>
        <v>Centro esquerda</v>
      </c>
    </row>
    <row r="1095" spans="1:5" x14ac:dyDescent="0.3">
      <c r="A1095" t="s">
        <v>831</v>
      </c>
      <c r="B1095" t="s">
        <v>832</v>
      </c>
      <c r="C1095" t="s">
        <v>92</v>
      </c>
      <c r="D1095" t="s">
        <v>93</v>
      </c>
      <c r="E1095" s="12" t="str">
        <f t="shared" si="17"/>
        <v>Centro esquerda</v>
      </c>
    </row>
    <row r="1096" spans="1:5" x14ac:dyDescent="0.3">
      <c r="A1096" t="s">
        <v>831</v>
      </c>
      <c r="B1096" t="s">
        <v>832</v>
      </c>
      <c r="C1096" t="s">
        <v>20</v>
      </c>
      <c r="D1096" t="s">
        <v>21</v>
      </c>
      <c r="E1096" s="12" t="str">
        <f t="shared" si="17"/>
        <v>Centro esquerda</v>
      </c>
    </row>
    <row r="1097" spans="1:5" x14ac:dyDescent="0.3">
      <c r="A1097" t="s">
        <v>831</v>
      </c>
      <c r="B1097" t="s">
        <v>832</v>
      </c>
      <c r="C1097" t="s">
        <v>349</v>
      </c>
      <c r="D1097" t="s">
        <v>350</v>
      </c>
      <c r="E1097" s="12" t="str">
        <f t="shared" si="17"/>
        <v>Centro esquerda</v>
      </c>
    </row>
    <row r="1098" spans="1:5" x14ac:dyDescent="0.3">
      <c r="A1098" t="s">
        <v>831</v>
      </c>
      <c r="B1098" t="s">
        <v>832</v>
      </c>
      <c r="C1098" t="s">
        <v>839</v>
      </c>
      <c r="D1098" t="s">
        <v>840</v>
      </c>
      <c r="E1098" s="12" t="str">
        <f t="shared" si="17"/>
        <v>Centro esquerda</v>
      </c>
    </row>
    <row r="1099" spans="1:5" x14ac:dyDescent="0.3">
      <c r="A1099" t="s">
        <v>831</v>
      </c>
      <c r="B1099" t="s">
        <v>832</v>
      </c>
      <c r="C1099" t="s">
        <v>660</v>
      </c>
      <c r="D1099" t="s">
        <v>661</v>
      </c>
      <c r="E1099" s="12" t="str">
        <f t="shared" si="17"/>
        <v>Centro esquerda</v>
      </c>
    </row>
    <row r="1100" spans="1:5" x14ac:dyDescent="0.3">
      <c r="A1100" t="s">
        <v>831</v>
      </c>
      <c r="B1100" t="s">
        <v>832</v>
      </c>
      <c r="C1100" t="s">
        <v>371</v>
      </c>
      <c r="D1100" t="s">
        <v>372</v>
      </c>
      <c r="E1100" s="12" t="str">
        <f t="shared" si="17"/>
        <v>Centro esquerda</v>
      </c>
    </row>
    <row r="1101" spans="1:5" x14ac:dyDescent="0.3">
      <c r="A1101" t="s">
        <v>831</v>
      </c>
      <c r="B1101" t="s">
        <v>832</v>
      </c>
      <c r="C1101" t="s">
        <v>453</v>
      </c>
      <c r="D1101" t="s">
        <v>454</v>
      </c>
      <c r="E1101" s="12" t="str">
        <f t="shared" si="17"/>
        <v>Centro esquerda</v>
      </c>
    </row>
    <row r="1102" spans="1:5" x14ac:dyDescent="0.3">
      <c r="A1102" t="s">
        <v>831</v>
      </c>
      <c r="B1102" t="s">
        <v>832</v>
      </c>
      <c r="C1102" t="s">
        <v>841</v>
      </c>
      <c r="D1102" t="s">
        <v>842</v>
      </c>
      <c r="E1102" s="12" t="str">
        <f t="shared" si="17"/>
        <v>Centro esquerda</v>
      </c>
    </row>
    <row r="1103" spans="1:5" x14ac:dyDescent="0.3">
      <c r="A1103" t="s">
        <v>831</v>
      </c>
      <c r="B1103" t="s">
        <v>832</v>
      </c>
      <c r="C1103" t="s">
        <v>455</v>
      </c>
      <c r="D1103" t="s">
        <v>456</v>
      </c>
      <c r="E1103" s="12" t="str">
        <f t="shared" si="17"/>
        <v>Centro esquerda</v>
      </c>
    </row>
    <row r="1104" spans="1:5" x14ac:dyDescent="0.3">
      <c r="A1104" t="s">
        <v>831</v>
      </c>
      <c r="B1104" t="s">
        <v>832</v>
      </c>
      <c r="C1104" t="s">
        <v>843</v>
      </c>
      <c r="D1104" t="s">
        <v>844</v>
      </c>
      <c r="E1104" s="12" t="str">
        <f t="shared" si="17"/>
        <v>Centro esquerda</v>
      </c>
    </row>
    <row r="1105" spans="1:5" x14ac:dyDescent="0.3">
      <c r="A1105" t="s">
        <v>831</v>
      </c>
      <c r="B1105" t="s">
        <v>832</v>
      </c>
      <c r="C1105" t="s">
        <v>758</v>
      </c>
      <c r="D1105" t="s">
        <v>759</v>
      </c>
      <c r="E1105" s="12" t="str">
        <f t="shared" si="17"/>
        <v>Centro esquerda</v>
      </c>
    </row>
    <row r="1106" spans="1:5" x14ac:dyDescent="0.3">
      <c r="A1106" t="s">
        <v>831</v>
      </c>
      <c r="B1106" t="s">
        <v>832</v>
      </c>
      <c r="C1106" t="s">
        <v>845</v>
      </c>
      <c r="D1106" t="s">
        <v>846</v>
      </c>
      <c r="E1106" s="12" t="str">
        <f t="shared" si="17"/>
        <v>Centro esquerda</v>
      </c>
    </row>
    <row r="1107" spans="1:5" x14ac:dyDescent="0.3">
      <c r="A1107" t="s">
        <v>831</v>
      </c>
      <c r="B1107" t="s">
        <v>832</v>
      </c>
      <c r="C1107" t="s">
        <v>847</v>
      </c>
      <c r="D1107" t="s">
        <v>848</v>
      </c>
      <c r="E1107" s="12" t="str">
        <f t="shared" si="17"/>
        <v>Centro esquerda</v>
      </c>
    </row>
    <row r="1108" spans="1:5" x14ac:dyDescent="0.3">
      <c r="A1108" t="s">
        <v>831</v>
      </c>
      <c r="B1108" t="s">
        <v>832</v>
      </c>
      <c r="C1108" t="s">
        <v>662</v>
      </c>
      <c r="D1108" t="s">
        <v>663</v>
      </c>
      <c r="E1108" s="12" t="str">
        <f t="shared" si="17"/>
        <v>Centro esquerda</v>
      </c>
    </row>
    <row r="1109" spans="1:5" x14ac:dyDescent="0.3">
      <c r="A1109" t="s">
        <v>831</v>
      </c>
      <c r="B1109" t="s">
        <v>832</v>
      </c>
      <c r="C1109" t="s">
        <v>849</v>
      </c>
      <c r="D1109" t="s">
        <v>850</v>
      </c>
      <c r="E1109" s="12" t="str">
        <f t="shared" si="17"/>
        <v>Centro esquerda</v>
      </c>
    </row>
    <row r="1110" spans="1:5" x14ac:dyDescent="0.3">
      <c r="A1110" t="s">
        <v>831</v>
      </c>
      <c r="B1110" t="s">
        <v>832</v>
      </c>
      <c r="C1110" t="s">
        <v>627</v>
      </c>
      <c r="D1110" t="s">
        <v>628</v>
      </c>
      <c r="E1110" s="12" t="str">
        <f t="shared" si="17"/>
        <v>Centro esquerda</v>
      </c>
    </row>
    <row r="1111" spans="1:5" x14ac:dyDescent="0.3">
      <c r="A1111" t="s">
        <v>831</v>
      </c>
      <c r="B1111" t="s">
        <v>832</v>
      </c>
      <c r="C1111" t="s">
        <v>367</v>
      </c>
      <c r="D1111" t="s">
        <v>368</v>
      </c>
      <c r="E1111" s="12" t="str">
        <f t="shared" si="17"/>
        <v>Centro esquerda</v>
      </c>
    </row>
    <row r="1112" spans="1:5" x14ac:dyDescent="0.3">
      <c r="A1112" t="s">
        <v>831</v>
      </c>
      <c r="B1112" t="s">
        <v>832</v>
      </c>
      <c r="C1112" t="s">
        <v>320</v>
      </c>
      <c r="D1112" t="s">
        <v>321</v>
      </c>
      <c r="E1112" s="12" t="str">
        <f t="shared" si="17"/>
        <v>Centro esquerda</v>
      </c>
    </row>
    <row r="1113" spans="1:5" x14ac:dyDescent="0.3">
      <c r="A1113" t="s">
        <v>831</v>
      </c>
      <c r="B1113" t="s">
        <v>832</v>
      </c>
      <c r="C1113" t="s">
        <v>851</v>
      </c>
      <c r="D1113" t="s">
        <v>852</v>
      </c>
      <c r="E1113" s="12" t="str">
        <f t="shared" si="17"/>
        <v>Centro esquerda</v>
      </c>
    </row>
    <row r="1114" spans="1:5" x14ac:dyDescent="0.3">
      <c r="A1114" t="s">
        <v>831</v>
      </c>
      <c r="B1114" t="s">
        <v>832</v>
      </c>
      <c r="C1114" t="s">
        <v>64</v>
      </c>
      <c r="D1114" t="s">
        <v>65</v>
      </c>
      <c r="E1114" s="12" t="str">
        <f t="shared" si="17"/>
        <v>Centro esquerda</v>
      </c>
    </row>
    <row r="1115" spans="1:5" x14ac:dyDescent="0.3">
      <c r="A1115" t="s">
        <v>831</v>
      </c>
      <c r="B1115" t="s">
        <v>832</v>
      </c>
      <c r="C1115" t="s">
        <v>853</v>
      </c>
      <c r="D1115" t="s">
        <v>854</v>
      </c>
      <c r="E1115" s="12" t="str">
        <f t="shared" si="17"/>
        <v>Centro esquerda</v>
      </c>
    </row>
    <row r="1116" spans="1:5" x14ac:dyDescent="0.3">
      <c r="A1116" t="s">
        <v>831</v>
      </c>
      <c r="B1116" t="s">
        <v>832</v>
      </c>
      <c r="C1116" t="s">
        <v>633</v>
      </c>
      <c r="D1116" t="s">
        <v>634</v>
      </c>
      <c r="E1116" s="12" t="str">
        <f t="shared" si="17"/>
        <v>Centro esquerda</v>
      </c>
    </row>
    <row r="1117" spans="1:5" x14ac:dyDescent="0.3">
      <c r="A1117" t="s">
        <v>831</v>
      </c>
      <c r="B1117" t="s">
        <v>832</v>
      </c>
      <c r="C1117" t="s">
        <v>778</v>
      </c>
      <c r="D1117" t="s">
        <v>779</v>
      </c>
      <c r="E1117" s="12" t="str">
        <f t="shared" si="17"/>
        <v>Centro esquerda</v>
      </c>
    </row>
    <row r="1118" spans="1:5" x14ac:dyDescent="0.3">
      <c r="A1118" t="s">
        <v>831</v>
      </c>
      <c r="B1118" t="s">
        <v>832</v>
      </c>
      <c r="C1118" t="s">
        <v>426</v>
      </c>
      <c r="D1118" t="s">
        <v>427</v>
      </c>
      <c r="E1118" s="12" t="str">
        <f t="shared" si="17"/>
        <v>Centro esquerda</v>
      </c>
    </row>
    <row r="1119" spans="1:5" x14ac:dyDescent="0.3">
      <c r="A1119" t="s">
        <v>831</v>
      </c>
      <c r="B1119" t="s">
        <v>832</v>
      </c>
      <c r="C1119" t="s">
        <v>635</v>
      </c>
      <c r="D1119" t="s">
        <v>636</v>
      </c>
      <c r="E1119" s="12" t="str">
        <f t="shared" si="17"/>
        <v>Centro esquerda</v>
      </c>
    </row>
    <row r="1120" spans="1:5" x14ac:dyDescent="0.3">
      <c r="A1120" t="s">
        <v>831</v>
      </c>
      <c r="B1120" t="s">
        <v>832</v>
      </c>
      <c r="C1120" t="s">
        <v>617</v>
      </c>
      <c r="D1120" t="s">
        <v>618</v>
      </c>
      <c r="E1120" s="12" t="str">
        <f t="shared" si="17"/>
        <v>Centro esquerda</v>
      </c>
    </row>
    <row r="1121" spans="1:5" x14ac:dyDescent="0.3">
      <c r="A1121" t="s">
        <v>831</v>
      </c>
      <c r="B1121" t="s">
        <v>832</v>
      </c>
      <c r="C1121" t="s">
        <v>855</v>
      </c>
      <c r="D1121" t="s">
        <v>856</v>
      </c>
      <c r="E1121" s="12" t="str">
        <f t="shared" si="17"/>
        <v>Centro esquerda</v>
      </c>
    </row>
    <row r="1122" spans="1:5" x14ac:dyDescent="0.3">
      <c r="A1122" t="s">
        <v>831</v>
      </c>
      <c r="B1122" t="s">
        <v>832</v>
      </c>
      <c r="C1122" t="s">
        <v>32</v>
      </c>
      <c r="D1122" t="s">
        <v>33</v>
      </c>
      <c r="E1122" s="12" t="str">
        <f t="shared" si="17"/>
        <v>Centro esquerda</v>
      </c>
    </row>
    <row r="1123" spans="1:5" x14ac:dyDescent="0.3">
      <c r="A1123" t="s">
        <v>831</v>
      </c>
      <c r="B1123" t="s">
        <v>832</v>
      </c>
      <c r="C1123" t="s">
        <v>515</v>
      </c>
      <c r="D1123" t="s">
        <v>516</v>
      </c>
      <c r="E1123" s="12" t="str">
        <f t="shared" si="17"/>
        <v>Centro esquerda</v>
      </c>
    </row>
    <row r="1124" spans="1:5" x14ac:dyDescent="0.3">
      <c r="A1124" t="s">
        <v>831</v>
      </c>
      <c r="B1124" t="s">
        <v>832</v>
      </c>
      <c r="C1124" t="s">
        <v>625</v>
      </c>
      <c r="D1124" t="s">
        <v>626</v>
      </c>
      <c r="E1124" s="12" t="str">
        <f t="shared" si="17"/>
        <v>Centro esquerda</v>
      </c>
    </row>
    <row r="1125" spans="1:5" x14ac:dyDescent="0.3">
      <c r="A1125" t="s">
        <v>831</v>
      </c>
      <c r="B1125" t="s">
        <v>832</v>
      </c>
      <c r="C1125" t="s">
        <v>529</v>
      </c>
      <c r="D1125" t="s">
        <v>530</v>
      </c>
      <c r="E1125" s="12" t="str">
        <f t="shared" si="17"/>
        <v>Centro esquerda</v>
      </c>
    </row>
    <row r="1126" spans="1:5" x14ac:dyDescent="0.3">
      <c r="A1126" t="s">
        <v>831</v>
      </c>
      <c r="B1126" t="s">
        <v>832</v>
      </c>
      <c r="C1126" t="s">
        <v>527</v>
      </c>
      <c r="D1126" t="s">
        <v>528</v>
      </c>
      <c r="E1126" s="12" t="str">
        <f t="shared" si="17"/>
        <v>Centro esquerda</v>
      </c>
    </row>
    <row r="1127" spans="1:5" x14ac:dyDescent="0.3">
      <c r="A1127" t="s">
        <v>831</v>
      </c>
      <c r="B1127" t="s">
        <v>832</v>
      </c>
      <c r="C1127" t="s">
        <v>697</v>
      </c>
      <c r="D1127" t="s">
        <v>698</v>
      </c>
      <c r="E1127" s="12" t="str">
        <f t="shared" si="17"/>
        <v>Centro esquerda</v>
      </c>
    </row>
    <row r="1128" spans="1:5" x14ac:dyDescent="0.3">
      <c r="A1128" t="s">
        <v>831</v>
      </c>
      <c r="B1128" t="s">
        <v>832</v>
      </c>
      <c r="C1128" t="s">
        <v>531</v>
      </c>
      <c r="D1128" t="s">
        <v>495</v>
      </c>
      <c r="E1128" s="12" t="str">
        <f t="shared" si="17"/>
        <v>Centro esquerda</v>
      </c>
    </row>
    <row r="1129" spans="1:5" x14ac:dyDescent="0.3">
      <c r="A1129" t="s">
        <v>831</v>
      </c>
      <c r="B1129" t="s">
        <v>832</v>
      </c>
      <c r="C1129" t="s">
        <v>44</v>
      </c>
      <c r="D1129" t="s">
        <v>45</v>
      </c>
      <c r="E1129" s="12" t="str">
        <f t="shared" si="17"/>
        <v>Centro esquerda</v>
      </c>
    </row>
    <row r="1130" spans="1:5" x14ac:dyDescent="0.3">
      <c r="A1130" t="s">
        <v>831</v>
      </c>
      <c r="B1130" t="s">
        <v>832</v>
      </c>
      <c r="C1130" t="s">
        <v>100</v>
      </c>
      <c r="D1130" t="s">
        <v>831</v>
      </c>
      <c r="E1130" s="12" t="str">
        <f t="shared" si="17"/>
        <v>Centro esquerda</v>
      </c>
    </row>
    <row r="1131" spans="1:5" x14ac:dyDescent="0.3">
      <c r="A1131" t="s">
        <v>831</v>
      </c>
      <c r="B1131" t="s">
        <v>832</v>
      </c>
      <c r="C1131" t="s">
        <v>196</v>
      </c>
      <c r="D1131" t="s">
        <v>197</v>
      </c>
      <c r="E1131" s="12" t="str">
        <f t="shared" si="17"/>
        <v>Centro esquerda</v>
      </c>
    </row>
    <row r="1132" spans="1:5" x14ac:dyDescent="0.3">
      <c r="A1132" t="s">
        <v>558</v>
      </c>
      <c r="B1132" t="s">
        <v>559</v>
      </c>
      <c r="C1132" t="s">
        <v>363</v>
      </c>
      <c r="D1132" t="s">
        <v>364</v>
      </c>
      <c r="E1132" s="12" t="str">
        <f t="shared" si="17"/>
        <v>Direita</v>
      </c>
    </row>
    <row r="1133" spans="1:5" x14ac:dyDescent="0.3">
      <c r="A1133" t="s">
        <v>558</v>
      </c>
      <c r="B1133" t="s">
        <v>559</v>
      </c>
      <c r="C1133" t="s">
        <v>284</v>
      </c>
      <c r="D1133" t="s">
        <v>285</v>
      </c>
      <c r="E1133" s="12" t="str">
        <f t="shared" si="17"/>
        <v>Direita</v>
      </c>
    </row>
    <row r="1134" spans="1:5" x14ac:dyDescent="0.3">
      <c r="A1134" t="s">
        <v>558</v>
      </c>
      <c r="B1134" t="s">
        <v>559</v>
      </c>
      <c r="C1134" t="s">
        <v>286</v>
      </c>
      <c r="D1134" t="s">
        <v>287</v>
      </c>
      <c r="E1134" s="12" t="str">
        <f t="shared" si="17"/>
        <v>Direita</v>
      </c>
    </row>
    <row r="1135" spans="1:5" x14ac:dyDescent="0.3">
      <c r="A1135" t="s">
        <v>558</v>
      </c>
      <c r="B1135" t="s">
        <v>559</v>
      </c>
      <c r="C1135" t="s">
        <v>560</v>
      </c>
      <c r="D1135" t="s">
        <v>561</v>
      </c>
      <c r="E1135" s="12" t="str">
        <f t="shared" si="17"/>
        <v>Direita</v>
      </c>
    </row>
    <row r="1136" spans="1:5" x14ac:dyDescent="0.3">
      <c r="A1136" t="s">
        <v>558</v>
      </c>
      <c r="B1136" t="s">
        <v>559</v>
      </c>
      <c r="C1136" t="s">
        <v>18</v>
      </c>
      <c r="D1136" t="s">
        <v>19</v>
      </c>
      <c r="E1136" s="12" t="str">
        <f t="shared" si="17"/>
        <v>Direita</v>
      </c>
    </row>
    <row r="1137" spans="1:5" x14ac:dyDescent="0.3">
      <c r="A1137" t="s">
        <v>558</v>
      </c>
      <c r="B1137" t="s">
        <v>559</v>
      </c>
      <c r="C1137" t="s">
        <v>562</v>
      </c>
      <c r="D1137" t="s">
        <v>563</v>
      </c>
      <c r="E1137" s="12" t="str">
        <f t="shared" si="17"/>
        <v>Direita</v>
      </c>
    </row>
    <row r="1138" spans="1:5" x14ac:dyDescent="0.3">
      <c r="A1138" t="s">
        <v>558</v>
      </c>
      <c r="B1138" t="s">
        <v>559</v>
      </c>
      <c r="C1138" t="s">
        <v>564</v>
      </c>
      <c r="D1138" t="s">
        <v>565</v>
      </c>
      <c r="E1138" s="12" t="str">
        <f t="shared" si="17"/>
        <v>Direita</v>
      </c>
    </row>
    <row r="1139" spans="1:5" x14ac:dyDescent="0.3">
      <c r="A1139" t="s">
        <v>558</v>
      </c>
      <c r="B1139" t="s">
        <v>559</v>
      </c>
      <c r="C1139" t="s">
        <v>231</v>
      </c>
      <c r="D1139" t="s">
        <v>232</v>
      </c>
      <c r="E1139" s="12" t="str">
        <f t="shared" si="17"/>
        <v>Direita</v>
      </c>
    </row>
    <row r="1140" spans="1:5" x14ac:dyDescent="0.3">
      <c r="A1140" t="s">
        <v>558</v>
      </c>
      <c r="B1140" t="s">
        <v>559</v>
      </c>
      <c r="C1140" t="s">
        <v>224</v>
      </c>
      <c r="D1140" t="s">
        <v>225</v>
      </c>
      <c r="E1140" s="12" t="str">
        <f t="shared" si="17"/>
        <v>Direita</v>
      </c>
    </row>
    <row r="1141" spans="1:5" x14ac:dyDescent="0.3">
      <c r="A1141" t="s">
        <v>558</v>
      </c>
      <c r="B1141" t="s">
        <v>559</v>
      </c>
      <c r="C1141" t="s">
        <v>24</v>
      </c>
      <c r="D1141" t="s">
        <v>25</v>
      </c>
      <c r="E1141" s="12" t="str">
        <f t="shared" si="17"/>
        <v>Direita</v>
      </c>
    </row>
    <row r="1142" spans="1:5" x14ac:dyDescent="0.3">
      <c r="A1142" t="s">
        <v>558</v>
      </c>
      <c r="B1142" t="s">
        <v>559</v>
      </c>
      <c r="C1142" t="s">
        <v>446</v>
      </c>
      <c r="D1142" t="s">
        <v>447</v>
      </c>
      <c r="E1142" s="12" t="str">
        <f t="shared" si="17"/>
        <v>Direita</v>
      </c>
    </row>
    <row r="1143" spans="1:5" x14ac:dyDescent="0.3">
      <c r="A1143" t="s">
        <v>558</v>
      </c>
      <c r="B1143" t="s">
        <v>559</v>
      </c>
      <c r="C1143" t="s">
        <v>36</v>
      </c>
      <c r="D1143" t="s">
        <v>37</v>
      </c>
      <c r="E1143" s="12" t="str">
        <f t="shared" si="17"/>
        <v>Direita</v>
      </c>
    </row>
    <row r="1144" spans="1:5" x14ac:dyDescent="0.3">
      <c r="A1144" t="s">
        <v>558</v>
      </c>
      <c r="B1144" t="s">
        <v>559</v>
      </c>
      <c r="C1144" t="s">
        <v>38</v>
      </c>
      <c r="D1144" t="s">
        <v>39</v>
      </c>
      <c r="E1144" s="12" t="str">
        <f t="shared" si="17"/>
        <v>Direita</v>
      </c>
    </row>
    <row r="1145" spans="1:5" x14ac:dyDescent="0.3">
      <c r="A1145" t="s">
        <v>558</v>
      </c>
      <c r="B1145" t="s">
        <v>559</v>
      </c>
      <c r="C1145" t="s">
        <v>566</v>
      </c>
      <c r="D1145" t="s">
        <v>567</v>
      </c>
      <c r="E1145" s="12" t="str">
        <f t="shared" si="17"/>
        <v>Direita</v>
      </c>
    </row>
    <row r="1146" spans="1:5" x14ac:dyDescent="0.3">
      <c r="A1146" t="s">
        <v>558</v>
      </c>
      <c r="B1146" t="s">
        <v>559</v>
      </c>
      <c r="C1146" t="s">
        <v>568</v>
      </c>
      <c r="D1146" t="s">
        <v>569</v>
      </c>
      <c r="E1146" s="12" t="str">
        <f t="shared" si="17"/>
        <v>Direita</v>
      </c>
    </row>
    <row r="1147" spans="1:5" x14ac:dyDescent="0.3">
      <c r="A1147" t="s">
        <v>558</v>
      </c>
      <c r="B1147" t="s">
        <v>559</v>
      </c>
      <c r="C1147" t="s">
        <v>570</v>
      </c>
      <c r="D1147" t="s">
        <v>571</v>
      </c>
      <c r="E1147" s="12" t="str">
        <f t="shared" si="17"/>
        <v>Direita</v>
      </c>
    </row>
    <row r="1148" spans="1:5" x14ac:dyDescent="0.3">
      <c r="A1148" t="s">
        <v>558</v>
      </c>
      <c r="B1148" t="s">
        <v>559</v>
      </c>
      <c r="C1148" t="s">
        <v>572</v>
      </c>
      <c r="D1148" t="s">
        <v>573</v>
      </c>
      <c r="E1148" s="12" t="str">
        <f t="shared" si="17"/>
        <v>Direita</v>
      </c>
    </row>
    <row r="1149" spans="1:5" x14ac:dyDescent="0.3">
      <c r="A1149" t="s">
        <v>558</v>
      </c>
      <c r="B1149" t="s">
        <v>559</v>
      </c>
      <c r="C1149" t="s">
        <v>574</v>
      </c>
      <c r="D1149" t="s">
        <v>575</v>
      </c>
      <c r="E1149" s="12" t="str">
        <f t="shared" si="17"/>
        <v>Direita</v>
      </c>
    </row>
    <row r="1150" spans="1:5" x14ac:dyDescent="0.3">
      <c r="A1150" t="s">
        <v>558</v>
      </c>
      <c r="B1150" t="s">
        <v>559</v>
      </c>
      <c r="C1150" t="s">
        <v>576</v>
      </c>
      <c r="D1150" t="s">
        <v>577</v>
      </c>
      <c r="E1150" s="12" t="str">
        <f t="shared" si="17"/>
        <v>Direita</v>
      </c>
    </row>
    <row r="1151" spans="1:5" x14ac:dyDescent="0.3">
      <c r="A1151" t="s">
        <v>558</v>
      </c>
      <c r="B1151" t="s">
        <v>559</v>
      </c>
      <c r="C1151" t="s">
        <v>578</v>
      </c>
      <c r="D1151" t="s">
        <v>579</v>
      </c>
      <c r="E1151" s="12" t="str">
        <f t="shared" si="17"/>
        <v>Direita</v>
      </c>
    </row>
    <row r="1152" spans="1:5" x14ac:dyDescent="0.3">
      <c r="A1152" t="s">
        <v>558</v>
      </c>
      <c r="B1152" t="s">
        <v>559</v>
      </c>
      <c r="C1152" t="s">
        <v>580</v>
      </c>
      <c r="D1152" t="s">
        <v>581</v>
      </c>
      <c r="E1152" s="12" t="str">
        <f t="shared" si="17"/>
        <v>Direita</v>
      </c>
    </row>
    <row r="1153" spans="1:5" x14ac:dyDescent="0.3">
      <c r="A1153" t="s">
        <v>558</v>
      </c>
      <c r="B1153" t="s">
        <v>559</v>
      </c>
      <c r="C1153" t="s">
        <v>582</v>
      </c>
      <c r="D1153" t="s">
        <v>571</v>
      </c>
      <c r="E1153" s="12" t="str">
        <f t="shared" si="17"/>
        <v>Direita</v>
      </c>
    </row>
    <row r="1154" spans="1:5" x14ac:dyDescent="0.3">
      <c r="A1154" t="s">
        <v>558</v>
      </c>
      <c r="B1154" t="s">
        <v>559</v>
      </c>
      <c r="C1154" t="s">
        <v>583</v>
      </c>
      <c r="D1154" t="s">
        <v>584</v>
      </c>
      <c r="E1154" s="12" t="str">
        <f t="shared" si="17"/>
        <v>Direita</v>
      </c>
    </row>
    <row r="1155" spans="1:5" x14ac:dyDescent="0.3">
      <c r="A1155" t="s">
        <v>558</v>
      </c>
      <c r="B1155" t="s">
        <v>559</v>
      </c>
      <c r="C1155" t="s">
        <v>585</v>
      </c>
      <c r="D1155" t="s">
        <v>561</v>
      </c>
      <c r="E1155" s="12" t="str">
        <f t="shared" ref="E1155:E1218" si="18">IF(INDEX(K:K,MATCH(A1155,I:I,0))&lt;&gt;0,INDEX(K:K,MATCH(A1155,I:I,0)),"")</f>
        <v>Direita</v>
      </c>
    </row>
    <row r="1156" spans="1:5" x14ac:dyDescent="0.3">
      <c r="A1156" t="s">
        <v>558</v>
      </c>
      <c r="B1156" t="s">
        <v>559</v>
      </c>
      <c r="C1156" t="s">
        <v>586</v>
      </c>
      <c r="D1156" t="s">
        <v>561</v>
      </c>
      <c r="E1156" s="12" t="str">
        <f t="shared" si="18"/>
        <v>Direita</v>
      </c>
    </row>
    <row r="1157" spans="1:5" x14ac:dyDescent="0.3">
      <c r="A1157" t="s">
        <v>558</v>
      </c>
      <c r="B1157" t="s">
        <v>559</v>
      </c>
      <c r="C1157" t="s">
        <v>326</v>
      </c>
      <c r="D1157" t="s">
        <v>323</v>
      </c>
      <c r="E1157" s="12" t="str">
        <f t="shared" si="18"/>
        <v>Direita</v>
      </c>
    </row>
    <row r="1158" spans="1:5" x14ac:dyDescent="0.3">
      <c r="A1158" t="s">
        <v>558</v>
      </c>
      <c r="B1158" t="s">
        <v>559</v>
      </c>
      <c r="C1158" t="s">
        <v>587</v>
      </c>
      <c r="D1158" t="s">
        <v>588</v>
      </c>
      <c r="E1158" s="12" t="str">
        <f t="shared" si="18"/>
        <v>Direita</v>
      </c>
    </row>
    <row r="1159" spans="1:5" x14ac:dyDescent="0.3">
      <c r="A1159" t="s">
        <v>558</v>
      </c>
      <c r="B1159" t="s">
        <v>559</v>
      </c>
      <c r="C1159" t="s">
        <v>418</v>
      </c>
      <c r="D1159" t="s">
        <v>419</v>
      </c>
      <c r="E1159" s="12" t="str">
        <f t="shared" si="18"/>
        <v>Direita</v>
      </c>
    </row>
    <row r="1160" spans="1:5" x14ac:dyDescent="0.3">
      <c r="A1160" t="s">
        <v>558</v>
      </c>
      <c r="B1160" t="s">
        <v>559</v>
      </c>
      <c r="C1160" t="s">
        <v>327</v>
      </c>
      <c r="D1160" t="s">
        <v>323</v>
      </c>
      <c r="E1160" s="12" t="str">
        <f t="shared" si="18"/>
        <v>Direita</v>
      </c>
    </row>
    <row r="1161" spans="1:5" x14ac:dyDescent="0.3">
      <c r="A1161" t="s">
        <v>558</v>
      </c>
      <c r="B1161" t="s">
        <v>559</v>
      </c>
      <c r="C1161" t="s">
        <v>84</v>
      </c>
      <c r="D1161" t="s">
        <v>85</v>
      </c>
      <c r="E1161" s="12" t="str">
        <f t="shared" si="18"/>
        <v>Direita</v>
      </c>
    </row>
    <row r="1162" spans="1:5" x14ac:dyDescent="0.3">
      <c r="A1162" t="s">
        <v>558</v>
      </c>
      <c r="B1162" t="s">
        <v>559</v>
      </c>
      <c r="C1162" t="s">
        <v>589</v>
      </c>
      <c r="D1162" t="s">
        <v>590</v>
      </c>
      <c r="E1162" s="12" t="str">
        <f t="shared" si="18"/>
        <v>Direita</v>
      </c>
    </row>
    <row r="1163" spans="1:5" x14ac:dyDescent="0.3">
      <c r="A1163" t="s">
        <v>558</v>
      </c>
      <c r="B1163" t="s">
        <v>559</v>
      </c>
      <c r="C1163" t="s">
        <v>328</v>
      </c>
      <c r="D1163" t="s">
        <v>329</v>
      </c>
      <c r="E1163" s="12" t="str">
        <f t="shared" si="18"/>
        <v>Direita</v>
      </c>
    </row>
    <row r="1164" spans="1:5" x14ac:dyDescent="0.3">
      <c r="A1164" t="s">
        <v>558</v>
      </c>
      <c r="B1164" t="s">
        <v>559</v>
      </c>
      <c r="C1164" t="s">
        <v>591</v>
      </c>
      <c r="D1164" t="s">
        <v>592</v>
      </c>
      <c r="E1164" s="12" t="str">
        <f t="shared" si="18"/>
        <v>Direita</v>
      </c>
    </row>
    <row r="1165" spans="1:5" x14ac:dyDescent="0.3">
      <c r="A1165" t="s">
        <v>558</v>
      </c>
      <c r="B1165" t="s">
        <v>559</v>
      </c>
      <c r="C1165" t="s">
        <v>593</v>
      </c>
      <c r="D1165" t="s">
        <v>594</v>
      </c>
      <c r="E1165" s="12" t="str">
        <f t="shared" si="18"/>
        <v>Direita</v>
      </c>
    </row>
    <row r="1166" spans="1:5" x14ac:dyDescent="0.3">
      <c r="A1166" t="s">
        <v>558</v>
      </c>
      <c r="B1166" t="s">
        <v>559</v>
      </c>
      <c r="C1166" t="s">
        <v>595</v>
      </c>
      <c r="D1166" t="s">
        <v>596</v>
      </c>
      <c r="E1166" s="12" t="str">
        <f t="shared" si="18"/>
        <v>Direita</v>
      </c>
    </row>
    <row r="1167" spans="1:5" x14ac:dyDescent="0.3">
      <c r="A1167" t="s">
        <v>558</v>
      </c>
      <c r="B1167" t="s">
        <v>559</v>
      </c>
      <c r="C1167" t="s">
        <v>332</v>
      </c>
      <c r="D1167" t="s">
        <v>333</v>
      </c>
      <c r="E1167" s="12" t="str">
        <f t="shared" si="18"/>
        <v>Direita</v>
      </c>
    </row>
    <row r="1168" spans="1:5" x14ac:dyDescent="0.3">
      <c r="A1168" t="s">
        <v>558</v>
      </c>
      <c r="B1168" t="s">
        <v>559</v>
      </c>
      <c r="C1168" t="s">
        <v>100</v>
      </c>
      <c r="D1168" t="s">
        <v>558</v>
      </c>
      <c r="E1168" s="12" t="str">
        <f t="shared" si="18"/>
        <v>Direita</v>
      </c>
    </row>
    <row r="1169" spans="1:5" x14ac:dyDescent="0.3">
      <c r="A1169" t="s">
        <v>558</v>
      </c>
      <c r="B1169" t="s">
        <v>559</v>
      </c>
      <c r="C1169" t="s">
        <v>597</v>
      </c>
      <c r="D1169" t="s">
        <v>598</v>
      </c>
      <c r="E1169" s="12" t="str">
        <f t="shared" si="18"/>
        <v>Direita</v>
      </c>
    </row>
    <row r="1170" spans="1:5" x14ac:dyDescent="0.3">
      <c r="A1170" t="s">
        <v>540</v>
      </c>
      <c r="B1170" t="s">
        <v>541</v>
      </c>
      <c r="C1170" t="s">
        <v>218</v>
      </c>
      <c r="D1170" t="s">
        <v>219</v>
      </c>
      <c r="E1170" s="12" t="str">
        <f t="shared" si="18"/>
        <v>Esquerda</v>
      </c>
    </row>
    <row r="1171" spans="1:5" x14ac:dyDescent="0.3">
      <c r="A1171" t="s">
        <v>540</v>
      </c>
      <c r="B1171" t="s">
        <v>541</v>
      </c>
      <c r="C1171" t="s">
        <v>338</v>
      </c>
      <c r="D1171" t="s">
        <v>339</v>
      </c>
      <c r="E1171" s="12" t="str">
        <f t="shared" si="18"/>
        <v>Esquerda</v>
      </c>
    </row>
    <row r="1172" spans="1:5" x14ac:dyDescent="0.3">
      <c r="A1172" t="s">
        <v>540</v>
      </c>
      <c r="B1172" t="s">
        <v>541</v>
      </c>
      <c r="C1172" t="s">
        <v>542</v>
      </c>
      <c r="D1172" t="s">
        <v>543</v>
      </c>
      <c r="E1172" s="12" t="str">
        <f t="shared" si="18"/>
        <v>Esquerda</v>
      </c>
    </row>
    <row r="1173" spans="1:5" x14ac:dyDescent="0.3">
      <c r="A1173" t="s">
        <v>540</v>
      </c>
      <c r="B1173" t="s">
        <v>541</v>
      </c>
      <c r="C1173" t="s">
        <v>359</v>
      </c>
      <c r="D1173" t="s">
        <v>360</v>
      </c>
      <c r="E1173" s="12" t="str">
        <f t="shared" si="18"/>
        <v>Esquerda</v>
      </c>
    </row>
    <row r="1174" spans="1:5" x14ac:dyDescent="0.3">
      <c r="A1174" t="s">
        <v>540</v>
      </c>
      <c r="B1174" t="s">
        <v>541</v>
      </c>
      <c r="C1174" t="s">
        <v>544</v>
      </c>
      <c r="D1174" t="s">
        <v>543</v>
      </c>
      <c r="E1174" s="12" t="str">
        <f t="shared" si="18"/>
        <v>Esquerda</v>
      </c>
    </row>
    <row r="1175" spans="1:5" x14ac:dyDescent="0.3">
      <c r="A1175" t="s">
        <v>540</v>
      </c>
      <c r="B1175" t="s">
        <v>541</v>
      </c>
      <c r="C1175" t="s">
        <v>545</v>
      </c>
      <c r="D1175" t="s">
        <v>543</v>
      </c>
      <c r="E1175" s="12" t="str">
        <f t="shared" si="18"/>
        <v>Esquerda</v>
      </c>
    </row>
    <row r="1176" spans="1:5" x14ac:dyDescent="0.3">
      <c r="A1176" t="s">
        <v>540</v>
      </c>
      <c r="B1176" t="s">
        <v>541</v>
      </c>
      <c r="C1176" t="s">
        <v>546</v>
      </c>
      <c r="D1176" t="s">
        <v>547</v>
      </c>
      <c r="E1176" s="12" t="str">
        <f t="shared" si="18"/>
        <v>Esquerda</v>
      </c>
    </row>
    <row r="1177" spans="1:5" x14ac:dyDescent="0.3">
      <c r="A1177" t="s">
        <v>540</v>
      </c>
      <c r="B1177" t="s">
        <v>541</v>
      </c>
      <c r="C1177" t="s">
        <v>548</v>
      </c>
      <c r="D1177" t="s">
        <v>543</v>
      </c>
      <c r="E1177" s="12" t="str">
        <f t="shared" si="18"/>
        <v>Esquerda</v>
      </c>
    </row>
    <row r="1178" spans="1:5" x14ac:dyDescent="0.3">
      <c r="A1178" t="s">
        <v>540</v>
      </c>
      <c r="B1178" t="s">
        <v>541</v>
      </c>
      <c r="C1178" t="s">
        <v>549</v>
      </c>
      <c r="D1178" t="s">
        <v>543</v>
      </c>
      <c r="E1178" s="12" t="str">
        <f t="shared" si="18"/>
        <v>Esquerda</v>
      </c>
    </row>
    <row r="1179" spans="1:5" x14ac:dyDescent="0.3">
      <c r="A1179" t="s">
        <v>540</v>
      </c>
      <c r="B1179" t="s">
        <v>541</v>
      </c>
      <c r="C1179" t="s">
        <v>550</v>
      </c>
      <c r="D1179" t="s">
        <v>551</v>
      </c>
      <c r="E1179" s="12" t="str">
        <f t="shared" si="18"/>
        <v>Esquerda</v>
      </c>
    </row>
    <row r="1180" spans="1:5" x14ac:dyDescent="0.3">
      <c r="A1180" t="s">
        <v>540</v>
      </c>
      <c r="B1180" t="s">
        <v>541</v>
      </c>
      <c r="C1180" t="s">
        <v>552</v>
      </c>
      <c r="D1180" t="s">
        <v>543</v>
      </c>
      <c r="E1180" s="12" t="str">
        <f t="shared" si="18"/>
        <v>Esquerda</v>
      </c>
    </row>
    <row r="1181" spans="1:5" x14ac:dyDescent="0.3">
      <c r="A1181" t="s">
        <v>540</v>
      </c>
      <c r="B1181" t="s">
        <v>541</v>
      </c>
      <c r="C1181" t="s">
        <v>553</v>
      </c>
      <c r="D1181" t="s">
        <v>543</v>
      </c>
      <c r="E1181" s="12" t="str">
        <f t="shared" si="18"/>
        <v>Esquerda</v>
      </c>
    </row>
    <row r="1182" spans="1:5" x14ac:dyDescent="0.3">
      <c r="A1182" t="s">
        <v>540</v>
      </c>
      <c r="B1182" t="s">
        <v>541</v>
      </c>
      <c r="C1182" t="s">
        <v>554</v>
      </c>
      <c r="D1182" t="s">
        <v>543</v>
      </c>
      <c r="E1182" s="12" t="str">
        <f t="shared" si="18"/>
        <v>Esquerda</v>
      </c>
    </row>
    <row r="1183" spans="1:5" x14ac:dyDescent="0.3">
      <c r="A1183" t="s">
        <v>540</v>
      </c>
      <c r="B1183" t="s">
        <v>541</v>
      </c>
      <c r="C1183" t="s">
        <v>486</v>
      </c>
      <c r="D1183" t="s">
        <v>487</v>
      </c>
      <c r="E1183" s="12" t="str">
        <f t="shared" si="18"/>
        <v>Esquerda</v>
      </c>
    </row>
    <row r="1184" spans="1:5" x14ac:dyDescent="0.3">
      <c r="A1184" t="s">
        <v>540</v>
      </c>
      <c r="B1184" t="s">
        <v>541</v>
      </c>
      <c r="C1184" t="s">
        <v>555</v>
      </c>
      <c r="D1184" t="s">
        <v>543</v>
      </c>
      <c r="E1184" s="12" t="str">
        <f t="shared" si="18"/>
        <v>Esquerda</v>
      </c>
    </row>
    <row r="1185" spans="1:5" x14ac:dyDescent="0.3">
      <c r="A1185" t="s">
        <v>540</v>
      </c>
      <c r="B1185" t="s">
        <v>541</v>
      </c>
      <c r="C1185" t="s">
        <v>556</v>
      </c>
      <c r="D1185" t="s">
        <v>543</v>
      </c>
      <c r="E1185" s="12" t="str">
        <f t="shared" si="18"/>
        <v>Esquerda</v>
      </c>
    </row>
    <row r="1186" spans="1:5" x14ac:dyDescent="0.3">
      <c r="A1186" t="s">
        <v>540</v>
      </c>
      <c r="B1186" t="s">
        <v>541</v>
      </c>
      <c r="C1186" t="s">
        <v>486</v>
      </c>
      <c r="D1186" t="s">
        <v>540</v>
      </c>
      <c r="E1186" s="12" t="str">
        <f t="shared" si="18"/>
        <v>Esquerda</v>
      </c>
    </row>
    <row r="1187" spans="1:5" x14ac:dyDescent="0.3">
      <c r="A1187" t="s">
        <v>540</v>
      </c>
      <c r="B1187" t="s">
        <v>541</v>
      </c>
      <c r="C1187" t="s">
        <v>486</v>
      </c>
      <c r="D1187" t="s">
        <v>543</v>
      </c>
      <c r="E1187" s="12" t="str">
        <f t="shared" si="18"/>
        <v>Esquerda</v>
      </c>
    </row>
    <row r="1188" spans="1:5" x14ac:dyDescent="0.3">
      <c r="A1188" t="s">
        <v>540</v>
      </c>
      <c r="B1188" t="s">
        <v>541</v>
      </c>
      <c r="C1188" t="s">
        <v>557</v>
      </c>
      <c r="D1188" t="s">
        <v>543</v>
      </c>
      <c r="E1188" s="12" t="str">
        <f t="shared" si="18"/>
        <v>Esquerda</v>
      </c>
    </row>
    <row r="1189" spans="1:5" x14ac:dyDescent="0.3">
      <c r="A1189" t="s">
        <v>540</v>
      </c>
      <c r="B1189" t="s">
        <v>541</v>
      </c>
      <c r="C1189" t="s">
        <v>100</v>
      </c>
      <c r="D1189" t="s">
        <v>540</v>
      </c>
      <c r="E1189" s="12" t="str">
        <f t="shared" si="18"/>
        <v>Esquerda</v>
      </c>
    </row>
    <row r="1190" spans="1:5" x14ac:dyDescent="0.3">
      <c r="A1190" t="s">
        <v>484</v>
      </c>
      <c r="B1190" t="s">
        <v>485</v>
      </c>
      <c r="C1190" t="s">
        <v>486</v>
      </c>
      <c r="D1190" t="s">
        <v>487</v>
      </c>
      <c r="E1190" s="12" t="str">
        <f t="shared" si="18"/>
        <v>Esquerda</v>
      </c>
    </row>
    <row r="1191" spans="1:5" x14ac:dyDescent="0.3">
      <c r="A1191" t="s">
        <v>484</v>
      </c>
      <c r="B1191" t="s">
        <v>485</v>
      </c>
      <c r="C1191" t="s">
        <v>100</v>
      </c>
      <c r="D1191" t="s">
        <v>484</v>
      </c>
      <c r="E1191" s="12" t="str">
        <f t="shared" si="18"/>
        <v>Esquerda</v>
      </c>
    </row>
    <row r="1192" spans="1:5" x14ac:dyDescent="0.3">
      <c r="A1192" t="s">
        <v>799</v>
      </c>
      <c r="B1192" t="s">
        <v>800</v>
      </c>
      <c r="C1192" t="s">
        <v>801</v>
      </c>
      <c r="D1192" t="s">
        <v>802</v>
      </c>
      <c r="E1192" s="12" t="str">
        <f t="shared" si="18"/>
        <v>Esquerda</v>
      </c>
    </row>
    <row r="1193" spans="1:5" x14ac:dyDescent="0.3">
      <c r="A1193" t="s">
        <v>799</v>
      </c>
      <c r="B1193" t="s">
        <v>800</v>
      </c>
      <c r="C1193" t="s">
        <v>803</v>
      </c>
      <c r="D1193" t="s">
        <v>804</v>
      </c>
      <c r="E1193" s="12" t="str">
        <f t="shared" si="18"/>
        <v>Esquerda</v>
      </c>
    </row>
    <row r="1194" spans="1:5" x14ac:dyDescent="0.3">
      <c r="A1194" t="s">
        <v>799</v>
      </c>
      <c r="B1194" t="s">
        <v>800</v>
      </c>
      <c r="C1194" t="s">
        <v>500</v>
      </c>
      <c r="D1194" t="s">
        <v>501</v>
      </c>
      <c r="E1194" s="12" t="str">
        <f t="shared" si="18"/>
        <v>Esquerda</v>
      </c>
    </row>
    <row r="1195" spans="1:5" x14ac:dyDescent="0.3">
      <c r="A1195" t="s">
        <v>799</v>
      </c>
      <c r="B1195" t="s">
        <v>800</v>
      </c>
      <c r="C1195" t="s">
        <v>695</v>
      </c>
      <c r="D1195" t="s">
        <v>696</v>
      </c>
      <c r="E1195" s="12" t="str">
        <f t="shared" si="18"/>
        <v>Esquerda</v>
      </c>
    </row>
    <row r="1196" spans="1:5" x14ac:dyDescent="0.3">
      <c r="A1196" t="s">
        <v>799</v>
      </c>
      <c r="B1196" t="s">
        <v>800</v>
      </c>
      <c r="C1196" t="s">
        <v>228</v>
      </c>
      <c r="D1196" t="s">
        <v>229</v>
      </c>
      <c r="E1196" s="12" t="str">
        <f t="shared" si="18"/>
        <v>Esquerda</v>
      </c>
    </row>
    <row r="1197" spans="1:5" x14ac:dyDescent="0.3">
      <c r="A1197" t="s">
        <v>799</v>
      </c>
      <c r="B1197" t="s">
        <v>800</v>
      </c>
      <c r="C1197" t="s">
        <v>345</v>
      </c>
      <c r="D1197" t="s">
        <v>346</v>
      </c>
      <c r="E1197" s="12" t="str">
        <f t="shared" si="18"/>
        <v>Esquerda</v>
      </c>
    </row>
    <row r="1198" spans="1:5" x14ac:dyDescent="0.3">
      <c r="A1198" t="s">
        <v>799</v>
      </c>
      <c r="B1198" t="s">
        <v>800</v>
      </c>
      <c r="C1198" t="s">
        <v>214</v>
      </c>
      <c r="D1198" t="s">
        <v>215</v>
      </c>
      <c r="E1198" s="12" t="str">
        <f t="shared" si="18"/>
        <v>Esquerda</v>
      </c>
    </row>
    <row r="1199" spans="1:5" x14ac:dyDescent="0.3">
      <c r="A1199" t="s">
        <v>799</v>
      </c>
      <c r="B1199" t="s">
        <v>800</v>
      </c>
      <c r="C1199" t="s">
        <v>805</v>
      </c>
      <c r="D1199" t="s">
        <v>806</v>
      </c>
      <c r="E1199" s="12" t="str">
        <f t="shared" si="18"/>
        <v>Esquerda</v>
      </c>
    </row>
    <row r="1200" spans="1:5" x14ac:dyDescent="0.3">
      <c r="A1200" t="s">
        <v>799</v>
      </c>
      <c r="B1200" t="s">
        <v>800</v>
      </c>
      <c r="C1200" t="s">
        <v>450</v>
      </c>
      <c r="D1200" t="s">
        <v>451</v>
      </c>
      <c r="E1200" s="12" t="str">
        <f t="shared" si="18"/>
        <v>Esquerda</v>
      </c>
    </row>
    <row r="1201" spans="1:5" x14ac:dyDescent="0.3">
      <c r="A1201" t="s">
        <v>799</v>
      </c>
      <c r="B1201" t="s">
        <v>800</v>
      </c>
      <c r="C1201" t="s">
        <v>536</v>
      </c>
      <c r="D1201" t="s">
        <v>537</v>
      </c>
      <c r="E1201" s="12" t="str">
        <f t="shared" si="18"/>
        <v>Esquerda</v>
      </c>
    </row>
    <row r="1202" spans="1:5" x14ac:dyDescent="0.3">
      <c r="A1202" t="s">
        <v>799</v>
      </c>
      <c r="B1202" t="s">
        <v>800</v>
      </c>
      <c r="C1202" t="s">
        <v>361</v>
      </c>
      <c r="D1202" t="s">
        <v>362</v>
      </c>
      <c r="E1202" s="12" t="str">
        <f t="shared" si="18"/>
        <v>Esquerda</v>
      </c>
    </row>
    <row r="1203" spans="1:5" x14ac:dyDescent="0.3">
      <c r="A1203" t="s">
        <v>799</v>
      </c>
      <c r="B1203" t="s">
        <v>800</v>
      </c>
      <c r="C1203" t="s">
        <v>603</v>
      </c>
      <c r="D1203" t="s">
        <v>604</v>
      </c>
      <c r="E1203" s="12" t="str">
        <f t="shared" si="18"/>
        <v>Esquerda</v>
      </c>
    </row>
    <row r="1204" spans="1:5" x14ac:dyDescent="0.3">
      <c r="A1204" t="s">
        <v>799</v>
      </c>
      <c r="B1204" t="s">
        <v>800</v>
      </c>
      <c r="C1204" t="s">
        <v>807</v>
      </c>
      <c r="D1204" t="s">
        <v>808</v>
      </c>
      <c r="E1204" s="12" t="str">
        <f t="shared" si="18"/>
        <v>Esquerda</v>
      </c>
    </row>
    <row r="1205" spans="1:5" x14ac:dyDescent="0.3">
      <c r="A1205" t="s">
        <v>799</v>
      </c>
      <c r="B1205" t="s">
        <v>800</v>
      </c>
      <c r="C1205" t="s">
        <v>161</v>
      </c>
      <c r="D1205" t="s">
        <v>162</v>
      </c>
      <c r="E1205" s="12" t="str">
        <f t="shared" si="18"/>
        <v>Esquerda</v>
      </c>
    </row>
    <row r="1206" spans="1:5" x14ac:dyDescent="0.3">
      <c r="A1206" t="s">
        <v>799</v>
      </c>
      <c r="B1206" t="s">
        <v>800</v>
      </c>
      <c r="C1206" t="s">
        <v>809</v>
      </c>
      <c r="D1206" t="s">
        <v>810</v>
      </c>
      <c r="E1206" s="12" t="str">
        <f t="shared" si="18"/>
        <v>Esquerda</v>
      </c>
    </row>
    <row r="1207" spans="1:5" x14ac:dyDescent="0.3">
      <c r="A1207" t="s">
        <v>799</v>
      </c>
      <c r="B1207" t="s">
        <v>800</v>
      </c>
      <c r="C1207" t="s">
        <v>511</v>
      </c>
      <c r="D1207" t="s">
        <v>512</v>
      </c>
      <c r="E1207" s="12" t="str">
        <f t="shared" si="18"/>
        <v>Esquerda</v>
      </c>
    </row>
    <row r="1208" spans="1:5" x14ac:dyDescent="0.3">
      <c r="A1208" t="s">
        <v>799</v>
      </c>
      <c r="B1208" t="s">
        <v>800</v>
      </c>
      <c r="C1208" t="s">
        <v>180</v>
      </c>
      <c r="D1208" t="s">
        <v>181</v>
      </c>
      <c r="E1208" s="12" t="str">
        <f t="shared" si="18"/>
        <v>Esquerda</v>
      </c>
    </row>
    <row r="1209" spans="1:5" x14ac:dyDescent="0.3">
      <c r="A1209" t="s">
        <v>799</v>
      </c>
      <c r="B1209" t="s">
        <v>800</v>
      </c>
      <c r="C1209" t="s">
        <v>811</v>
      </c>
      <c r="D1209" t="s">
        <v>806</v>
      </c>
      <c r="E1209" s="12" t="str">
        <f t="shared" si="18"/>
        <v>Esquerda</v>
      </c>
    </row>
    <row r="1210" spans="1:5" x14ac:dyDescent="0.3">
      <c r="A1210" t="s">
        <v>799</v>
      </c>
      <c r="B1210" t="s">
        <v>800</v>
      </c>
      <c r="C1210" t="s">
        <v>812</v>
      </c>
      <c r="D1210" t="s">
        <v>804</v>
      </c>
      <c r="E1210" s="12" t="str">
        <f t="shared" si="18"/>
        <v>Esquerda</v>
      </c>
    </row>
    <row r="1211" spans="1:5" x14ac:dyDescent="0.3">
      <c r="A1211" t="s">
        <v>799</v>
      </c>
      <c r="B1211" t="s">
        <v>800</v>
      </c>
      <c r="C1211" t="s">
        <v>190</v>
      </c>
      <c r="D1211" t="s">
        <v>191</v>
      </c>
      <c r="E1211" s="12" t="str">
        <f t="shared" si="18"/>
        <v>Esquerda</v>
      </c>
    </row>
    <row r="1212" spans="1:5" x14ac:dyDescent="0.3">
      <c r="A1212" t="s">
        <v>799</v>
      </c>
      <c r="B1212" t="s">
        <v>800</v>
      </c>
      <c r="C1212" t="s">
        <v>797</v>
      </c>
      <c r="D1212" t="s">
        <v>798</v>
      </c>
      <c r="E1212" s="12" t="str">
        <f t="shared" si="18"/>
        <v>Esquerda</v>
      </c>
    </row>
    <row r="1213" spans="1:5" x14ac:dyDescent="0.3">
      <c r="A1213" t="s">
        <v>799</v>
      </c>
      <c r="B1213" t="s">
        <v>800</v>
      </c>
      <c r="C1213" t="s">
        <v>550</v>
      </c>
      <c r="D1213" t="s">
        <v>551</v>
      </c>
      <c r="E1213" s="12" t="str">
        <f t="shared" si="18"/>
        <v>Esquerda</v>
      </c>
    </row>
    <row r="1214" spans="1:5" x14ac:dyDescent="0.3">
      <c r="A1214" t="s">
        <v>799</v>
      </c>
      <c r="B1214" t="s">
        <v>800</v>
      </c>
      <c r="C1214" t="s">
        <v>519</v>
      </c>
      <c r="D1214" t="s">
        <v>520</v>
      </c>
      <c r="E1214" s="12" t="str">
        <f t="shared" si="18"/>
        <v>Esquerda</v>
      </c>
    </row>
    <row r="1215" spans="1:5" x14ac:dyDescent="0.3">
      <c r="A1215" t="s">
        <v>799</v>
      </c>
      <c r="B1215" t="s">
        <v>800</v>
      </c>
      <c r="C1215" t="s">
        <v>813</v>
      </c>
      <c r="D1215" t="s">
        <v>804</v>
      </c>
      <c r="E1215" s="12" t="str">
        <f t="shared" si="18"/>
        <v>Esquerda</v>
      </c>
    </row>
    <row r="1216" spans="1:5" x14ac:dyDescent="0.3">
      <c r="A1216" t="s">
        <v>799</v>
      </c>
      <c r="B1216" t="s">
        <v>800</v>
      </c>
      <c r="C1216" t="s">
        <v>448</v>
      </c>
      <c r="D1216" t="s">
        <v>449</v>
      </c>
      <c r="E1216" s="12" t="str">
        <f t="shared" si="18"/>
        <v>Esquerda</v>
      </c>
    </row>
    <row r="1217" spans="1:5" x14ac:dyDescent="0.3">
      <c r="A1217" t="s">
        <v>799</v>
      </c>
      <c r="B1217" t="s">
        <v>800</v>
      </c>
      <c r="C1217" t="s">
        <v>184</v>
      </c>
      <c r="D1217" t="s">
        <v>185</v>
      </c>
      <c r="E1217" s="12" t="str">
        <f t="shared" si="18"/>
        <v>Esquerda</v>
      </c>
    </row>
    <row r="1218" spans="1:5" x14ac:dyDescent="0.3">
      <c r="A1218" t="s">
        <v>799</v>
      </c>
      <c r="B1218" t="s">
        <v>800</v>
      </c>
      <c r="C1218" t="s">
        <v>237</v>
      </c>
      <c r="D1218" t="s">
        <v>804</v>
      </c>
      <c r="E1218" s="12" t="str">
        <f t="shared" si="18"/>
        <v>Esquerda</v>
      </c>
    </row>
    <row r="1219" spans="1:5" x14ac:dyDescent="0.3">
      <c r="A1219" t="s">
        <v>799</v>
      </c>
      <c r="B1219" t="s">
        <v>800</v>
      </c>
      <c r="C1219" t="s">
        <v>513</v>
      </c>
      <c r="D1219" t="s">
        <v>514</v>
      </c>
      <c r="E1219" s="12" t="str">
        <f t="shared" ref="E1219:E1282" si="19">IF(INDEX(K:K,MATCH(A1219,I:I,0))&lt;&gt;0,INDEX(K:K,MATCH(A1219,I:I,0)),"")</f>
        <v>Esquerda</v>
      </c>
    </row>
    <row r="1220" spans="1:5" x14ac:dyDescent="0.3">
      <c r="A1220" t="s">
        <v>799</v>
      </c>
      <c r="B1220" t="s">
        <v>800</v>
      </c>
      <c r="C1220" t="s">
        <v>814</v>
      </c>
      <c r="D1220" t="s">
        <v>804</v>
      </c>
      <c r="E1220" s="12" t="str">
        <f t="shared" si="19"/>
        <v>Esquerda</v>
      </c>
    </row>
    <row r="1221" spans="1:5" x14ac:dyDescent="0.3">
      <c r="A1221" t="s">
        <v>799</v>
      </c>
      <c r="B1221" t="s">
        <v>800</v>
      </c>
      <c r="C1221" t="s">
        <v>353</v>
      </c>
      <c r="D1221" t="s">
        <v>354</v>
      </c>
      <c r="E1221" s="12" t="str">
        <f t="shared" si="19"/>
        <v>Esquerda</v>
      </c>
    </row>
    <row r="1222" spans="1:5" x14ac:dyDescent="0.3">
      <c r="A1222" t="s">
        <v>799</v>
      </c>
      <c r="B1222" t="s">
        <v>800</v>
      </c>
      <c r="C1222" t="s">
        <v>815</v>
      </c>
      <c r="D1222" t="s">
        <v>804</v>
      </c>
      <c r="E1222" s="12" t="str">
        <f t="shared" si="19"/>
        <v>Esquerda</v>
      </c>
    </row>
    <row r="1223" spans="1:5" x14ac:dyDescent="0.3">
      <c r="A1223" t="s">
        <v>799</v>
      </c>
      <c r="B1223" t="s">
        <v>800</v>
      </c>
      <c r="C1223" t="s">
        <v>631</v>
      </c>
      <c r="D1223" t="s">
        <v>632</v>
      </c>
      <c r="E1223" s="12" t="str">
        <f t="shared" si="19"/>
        <v>Esquerda</v>
      </c>
    </row>
    <row r="1224" spans="1:5" x14ac:dyDescent="0.3">
      <c r="A1224" t="s">
        <v>799</v>
      </c>
      <c r="B1224" t="s">
        <v>800</v>
      </c>
      <c r="C1224" t="s">
        <v>255</v>
      </c>
      <c r="D1224" t="s">
        <v>256</v>
      </c>
      <c r="E1224" s="12" t="str">
        <f t="shared" si="19"/>
        <v>Esquerda</v>
      </c>
    </row>
    <row r="1225" spans="1:5" x14ac:dyDescent="0.3">
      <c r="A1225" t="s">
        <v>799</v>
      </c>
      <c r="B1225" t="s">
        <v>800</v>
      </c>
      <c r="C1225" t="s">
        <v>727</v>
      </c>
      <c r="D1225" t="s">
        <v>728</v>
      </c>
      <c r="E1225" s="12" t="str">
        <f t="shared" si="19"/>
        <v>Esquerda</v>
      </c>
    </row>
    <row r="1226" spans="1:5" x14ac:dyDescent="0.3">
      <c r="A1226" t="s">
        <v>799</v>
      </c>
      <c r="B1226" t="s">
        <v>800</v>
      </c>
      <c r="C1226" t="s">
        <v>249</v>
      </c>
      <c r="D1226" t="s">
        <v>250</v>
      </c>
      <c r="E1226" s="12" t="str">
        <f t="shared" si="19"/>
        <v>Esquerda</v>
      </c>
    </row>
    <row r="1227" spans="1:5" x14ac:dyDescent="0.3">
      <c r="A1227" t="s">
        <v>799</v>
      </c>
      <c r="B1227" t="s">
        <v>800</v>
      </c>
      <c r="C1227" t="s">
        <v>251</v>
      </c>
      <c r="D1227" t="s">
        <v>252</v>
      </c>
      <c r="E1227" s="12" t="str">
        <f t="shared" si="19"/>
        <v>Esquerda</v>
      </c>
    </row>
    <row r="1228" spans="1:5" x14ac:dyDescent="0.3">
      <c r="A1228" t="s">
        <v>799</v>
      </c>
      <c r="B1228" t="s">
        <v>800</v>
      </c>
      <c r="C1228" t="s">
        <v>100</v>
      </c>
      <c r="D1228" t="s">
        <v>799</v>
      </c>
      <c r="E1228" s="12" t="str">
        <f t="shared" si="19"/>
        <v>Esquerda</v>
      </c>
    </row>
    <row r="1229" spans="1:5" x14ac:dyDescent="0.3">
      <c r="A1229" t="s">
        <v>799</v>
      </c>
      <c r="B1229" t="s">
        <v>800</v>
      </c>
      <c r="C1229" t="s">
        <v>805</v>
      </c>
      <c r="D1229" t="s">
        <v>816</v>
      </c>
      <c r="E1229" s="12" t="str">
        <f t="shared" si="19"/>
        <v>Esquerda</v>
      </c>
    </row>
    <row r="1230" spans="1:5" x14ac:dyDescent="0.3">
      <c r="A1230" t="s">
        <v>440</v>
      </c>
      <c r="B1230" t="s">
        <v>441</v>
      </c>
      <c r="C1230" t="s">
        <v>442</v>
      </c>
      <c r="D1230" t="s">
        <v>443</v>
      </c>
      <c r="E1230" s="12" t="str">
        <f t="shared" si="19"/>
        <v>Esquerda</v>
      </c>
    </row>
    <row r="1231" spans="1:5" x14ac:dyDescent="0.3">
      <c r="A1231" t="s">
        <v>440</v>
      </c>
      <c r="B1231" t="s">
        <v>441</v>
      </c>
      <c r="C1231" t="s">
        <v>10</v>
      </c>
      <c r="D1231" t="s">
        <v>11</v>
      </c>
      <c r="E1231" s="12" t="str">
        <f t="shared" si="19"/>
        <v>Esquerda</v>
      </c>
    </row>
    <row r="1232" spans="1:5" x14ac:dyDescent="0.3">
      <c r="A1232" t="s">
        <v>440</v>
      </c>
      <c r="B1232" t="s">
        <v>441</v>
      </c>
      <c r="C1232" t="s">
        <v>28</v>
      </c>
      <c r="D1232" t="s">
        <v>29</v>
      </c>
      <c r="E1232" s="12" t="str">
        <f t="shared" si="19"/>
        <v>Esquerda</v>
      </c>
    </row>
    <row r="1233" spans="1:5" x14ac:dyDescent="0.3">
      <c r="A1233" t="s">
        <v>440</v>
      </c>
      <c r="B1233" t="s">
        <v>441</v>
      </c>
      <c r="C1233" t="s">
        <v>444</v>
      </c>
      <c r="D1233" t="s">
        <v>445</v>
      </c>
      <c r="E1233" s="12" t="str">
        <f t="shared" si="19"/>
        <v>Esquerda</v>
      </c>
    </row>
    <row r="1234" spans="1:5" x14ac:dyDescent="0.3">
      <c r="A1234" t="s">
        <v>440</v>
      </c>
      <c r="B1234" t="s">
        <v>441</v>
      </c>
      <c r="C1234" t="s">
        <v>408</v>
      </c>
      <c r="D1234" t="s">
        <v>409</v>
      </c>
      <c r="E1234" s="12" t="str">
        <f t="shared" si="19"/>
        <v>Esquerda</v>
      </c>
    </row>
    <row r="1235" spans="1:5" x14ac:dyDescent="0.3">
      <c r="A1235" t="s">
        <v>440</v>
      </c>
      <c r="B1235" t="s">
        <v>441</v>
      </c>
      <c r="C1235" t="s">
        <v>24</v>
      </c>
      <c r="D1235" t="s">
        <v>25</v>
      </c>
      <c r="E1235" s="12" t="str">
        <f t="shared" si="19"/>
        <v>Esquerda</v>
      </c>
    </row>
    <row r="1236" spans="1:5" x14ac:dyDescent="0.3">
      <c r="A1236" t="s">
        <v>440</v>
      </c>
      <c r="B1236" t="s">
        <v>441</v>
      </c>
      <c r="C1236" t="s">
        <v>446</v>
      </c>
      <c r="D1236" t="s">
        <v>447</v>
      </c>
      <c r="E1236" s="12" t="str">
        <f t="shared" si="19"/>
        <v>Esquerda</v>
      </c>
    </row>
    <row r="1237" spans="1:5" x14ac:dyDescent="0.3">
      <c r="A1237" t="s">
        <v>440</v>
      </c>
      <c r="B1237" t="s">
        <v>441</v>
      </c>
      <c r="C1237" t="s">
        <v>214</v>
      </c>
      <c r="D1237" t="s">
        <v>215</v>
      </c>
      <c r="E1237" s="12" t="str">
        <f t="shared" si="19"/>
        <v>Esquerda</v>
      </c>
    </row>
    <row r="1238" spans="1:5" x14ac:dyDescent="0.3">
      <c r="A1238" t="s">
        <v>440</v>
      </c>
      <c r="B1238" t="s">
        <v>441</v>
      </c>
      <c r="C1238" t="s">
        <v>14</v>
      </c>
      <c r="D1238" t="s">
        <v>15</v>
      </c>
      <c r="E1238" s="12" t="str">
        <f t="shared" si="19"/>
        <v>Esquerda</v>
      </c>
    </row>
    <row r="1239" spans="1:5" x14ac:dyDescent="0.3">
      <c r="A1239" t="s">
        <v>440</v>
      </c>
      <c r="B1239" t="s">
        <v>441</v>
      </c>
      <c r="C1239" t="s">
        <v>190</v>
      </c>
      <c r="D1239" t="s">
        <v>191</v>
      </c>
      <c r="E1239" s="12" t="str">
        <f t="shared" si="19"/>
        <v>Esquerda</v>
      </c>
    </row>
    <row r="1240" spans="1:5" x14ac:dyDescent="0.3">
      <c r="A1240" t="s">
        <v>440</v>
      </c>
      <c r="B1240" t="s">
        <v>441</v>
      </c>
      <c r="C1240" t="s">
        <v>357</v>
      </c>
      <c r="D1240" t="s">
        <v>358</v>
      </c>
      <c r="E1240" s="12" t="str">
        <f t="shared" si="19"/>
        <v>Esquerda</v>
      </c>
    </row>
    <row r="1241" spans="1:5" x14ac:dyDescent="0.3">
      <c r="A1241" t="s">
        <v>440</v>
      </c>
      <c r="B1241" t="s">
        <v>441</v>
      </c>
      <c r="C1241" t="s">
        <v>196</v>
      </c>
      <c r="D1241" t="s">
        <v>197</v>
      </c>
      <c r="E1241" s="12" t="str">
        <f t="shared" si="19"/>
        <v>Esquerda</v>
      </c>
    </row>
    <row r="1242" spans="1:5" x14ac:dyDescent="0.3">
      <c r="A1242" t="s">
        <v>440</v>
      </c>
      <c r="B1242" t="s">
        <v>441</v>
      </c>
      <c r="C1242" t="s">
        <v>448</v>
      </c>
      <c r="D1242" t="s">
        <v>449</v>
      </c>
      <c r="E1242" s="12" t="str">
        <f t="shared" si="19"/>
        <v>Esquerda</v>
      </c>
    </row>
    <row r="1243" spans="1:5" x14ac:dyDescent="0.3">
      <c r="A1243" t="s">
        <v>440</v>
      </c>
      <c r="B1243" t="s">
        <v>441</v>
      </c>
      <c r="C1243" t="s">
        <v>426</v>
      </c>
      <c r="D1243" t="s">
        <v>427</v>
      </c>
      <c r="E1243" s="12" t="str">
        <f t="shared" si="19"/>
        <v>Esquerda</v>
      </c>
    </row>
    <row r="1244" spans="1:5" x14ac:dyDescent="0.3">
      <c r="A1244" t="s">
        <v>440</v>
      </c>
      <c r="B1244" t="s">
        <v>441</v>
      </c>
      <c r="C1244" t="s">
        <v>450</v>
      </c>
      <c r="D1244" t="s">
        <v>451</v>
      </c>
      <c r="E1244" s="12" t="str">
        <f t="shared" si="19"/>
        <v>Esquerda</v>
      </c>
    </row>
    <row r="1245" spans="1:5" x14ac:dyDescent="0.3">
      <c r="A1245" t="s">
        <v>440</v>
      </c>
      <c r="B1245" t="s">
        <v>441</v>
      </c>
      <c r="C1245" t="s">
        <v>228</v>
      </c>
      <c r="D1245" t="s">
        <v>229</v>
      </c>
      <c r="E1245" s="12" t="str">
        <f t="shared" si="19"/>
        <v>Esquerda</v>
      </c>
    </row>
    <row r="1246" spans="1:5" x14ac:dyDescent="0.3">
      <c r="A1246" t="s">
        <v>440</v>
      </c>
      <c r="B1246" t="s">
        <v>441</v>
      </c>
      <c r="C1246" t="s">
        <v>235</v>
      </c>
      <c r="D1246" t="s">
        <v>236</v>
      </c>
      <c r="E1246" s="12" t="str">
        <f t="shared" si="19"/>
        <v>Esquerda</v>
      </c>
    </row>
    <row r="1247" spans="1:5" x14ac:dyDescent="0.3">
      <c r="A1247" t="s">
        <v>440</v>
      </c>
      <c r="B1247" t="s">
        <v>441</v>
      </c>
      <c r="C1247" t="s">
        <v>36</v>
      </c>
      <c r="D1247" t="s">
        <v>37</v>
      </c>
      <c r="E1247" s="12" t="str">
        <f t="shared" si="19"/>
        <v>Esquerda</v>
      </c>
    </row>
    <row r="1248" spans="1:5" x14ac:dyDescent="0.3">
      <c r="A1248" t="s">
        <v>440</v>
      </c>
      <c r="B1248" t="s">
        <v>441</v>
      </c>
      <c r="C1248" t="s">
        <v>38</v>
      </c>
      <c r="D1248" t="s">
        <v>39</v>
      </c>
      <c r="E1248" s="12" t="str">
        <f t="shared" si="19"/>
        <v>Esquerda</v>
      </c>
    </row>
    <row r="1249" spans="1:5" x14ac:dyDescent="0.3">
      <c r="A1249" t="s">
        <v>440</v>
      </c>
      <c r="B1249" t="s">
        <v>441</v>
      </c>
      <c r="C1249" t="s">
        <v>231</v>
      </c>
      <c r="D1249" t="s">
        <v>232</v>
      </c>
      <c r="E1249" s="12" t="str">
        <f t="shared" si="19"/>
        <v>Esquerda</v>
      </c>
    </row>
    <row r="1250" spans="1:5" x14ac:dyDescent="0.3">
      <c r="A1250" t="s">
        <v>440</v>
      </c>
      <c r="B1250" t="s">
        <v>441</v>
      </c>
      <c r="C1250" t="s">
        <v>224</v>
      </c>
      <c r="D1250" t="s">
        <v>225</v>
      </c>
      <c r="E1250" s="12" t="str">
        <f t="shared" si="19"/>
        <v>Esquerda</v>
      </c>
    </row>
    <row r="1251" spans="1:5" x14ac:dyDescent="0.3">
      <c r="A1251" t="s">
        <v>440</v>
      </c>
      <c r="B1251" t="s">
        <v>441</v>
      </c>
      <c r="C1251" t="s">
        <v>416</v>
      </c>
      <c r="D1251" t="s">
        <v>417</v>
      </c>
      <c r="E1251" s="12" t="str">
        <f t="shared" si="19"/>
        <v>Esquerda</v>
      </c>
    </row>
    <row r="1252" spans="1:5" x14ac:dyDescent="0.3">
      <c r="A1252" t="s">
        <v>440</v>
      </c>
      <c r="B1252" t="s">
        <v>441</v>
      </c>
      <c r="C1252" t="s">
        <v>239</v>
      </c>
      <c r="D1252" t="s">
        <v>452</v>
      </c>
      <c r="E1252" s="12" t="str">
        <f t="shared" si="19"/>
        <v>Esquerda</v>
      </c>
    </row>
    <row r="1253" spans="1:5" x14ac:dyDescent="0.3">
      <c r="A1253" t="s">
        <v>440</v>
      </c>
      <c r="B1253" t="s">
        <v>441</v>
      </c>
      <c r="C1253" t="s">
        <v>453</v>
      </c>
      <c r="D1253" t="s">
        <v>454</v>
      </c>
      <c r="E1253" s="12" t="str">
        <f t="shared" si="19"/>
        <v>Esquerda</v>
      </c>
    </row>
    <row r="1254" spans="1:5" x14ac:dyDescent="0.3">
      <c r="A1254" t="s">
        <v>440</v>
      </c>
      <c r="B1254" t="s">
        <v>441</v>
      </c>
      <c r="C1254" t="s">
        <v>208</v>
      </c>
      <c r="D1254" t="s">
        <v>209</v>
      </c>
      <c r="E1254" s="12" t="str">
        <f t="shared" si="19"/>
        <v>Esquerda</v>
      </c>
    </row>
    <row r="1255" spans="1:5" x14ac:dyDescent="0.3">
      <c r="A1255" t="s">
        <v>440</v>
      </c>
      <c r="B1255" t="s">
        <v>441</v>
      </c>
      <c r="C1255" t="s">
        <v>210</v>
      </c>
      <c r="D1255" t="s">
        <v>211</v>
      </c>
      <c r="E1255" s="12" t="str">
        <f t="shared" si="19"/>
        <v>Esquerda</v>
      </c>
    </row>
    <row r="1256" spans="1:5" x14ac:dyDescent="0.3">
      <c r="A1256" t="s">
        <v>440</v>
      </c>
      <c r="B1256" t="s">
        <v>441</v>
      </c>
      <c r="C1256" t="s">
        <v>455</v>
      </c>
      <c r="D1256" t="s">
        <v>456</v>
      </c>
      <c r="E1256" s="12" t="str">
        <f t="shared" si="19"/>
        <v>Esquerda</v>
      </c>
    </row>
    <row r="1257" spans="1:5" x14ac:dyDescent="0.3">
      <c r="A1257" t="s">
        <v>440</v>
      </c>
      <c r="B1257" t="s">
        <v>441</v>
      </c>
      <c r="C1257" t="s">
        <v>457</v>
      </c>
      <c r="D1257" t="s">
        <v>458</v>
      </c>
      <c r="E1257" s="12" t="str">
        <f t="shared" si="19"/>
        <v>Esquerda</v>
      </c>
    </row>
    <row r="1258" spans="1:5" x14ac:dyDescent="0.3">
      <c r="A1258" t="s">
        <v>440</v>
      </c>
      <c r="B1258" t="s">
        <v>441</v>
      </c>
      <c r="C1258" t="s">
        <v>72</v>
      </c>
      <c r="D1258" t="s">
        <v>73</v>
      </c>
      <c r="E1258" s="12" t="str">
        <f t="shared" si="19"/>
        <v>Esquerda</v>
      </c>
    </row>
    <row r="1259" spans="1:5" x14ac:dyDescent="0.3">
      <c r="A1259" t="s">
        <v>440</v>
      </c>
      <c r="B1259" t="s">
        <v>441</v>
      </c>
      <c r="C1259" t="s">
        <v>74</v>
      </c>
      <c r="D1259" t="s">
        <v>75</v>
      </c>
      <c r="E1259" s="12" t="str">
        <f t="shared" si="19"/>
        <v>Esquerda</v>
      </c>
    </row>
    <row r="1260" spans="1:5" x14ac:dyDescent="0.3">
      <c r="A1260" t="s">
        <v>440</v>
      </c>
      <c r="B1260" t="s">
        <v>441</v>
      </c>
      <c r="C1260" t="s">
        <v>459</v>
      </c>
      <c r="D1260" t="s">
        <v>460</v>
      </c>
      <c r="E1260" s="12" t="str">
        <f t="shared" si="19"/>
        <v>Esquerda</v>
      </c>
    </row>
    <row r="1261" spans="1:5" x14ac:dyDescent="0.3">
      <c r="A1261" t="s">
        <v>440</v>
      </c>
      <c r="B1261" t="s">
        <v>441</v>
      </c>
      <c r="C1261" t="s">
        <v>161</v>
      </c>
      <c r="D1261" t="s">
        <v>162</v>
      </c>
      <c r="E1261" s="12" t="str">
        <f t="shared" si="19"/>
        <v>Esquerda</v>
      </c>
    </row>
    <row r="1262" spans="1:5" x14ac:dyDescent="0.3">
      <c r="A1262" t="s">
        <v>440</v>
      </c>
      <c r="B1262" t="s">
        <v>441</v>
      </c>
      <c r="C1262" t="s">
        <v>461</v>
      </c>
      <c r="D1262" t="s">
        <v>462</v>
      </c>
      <c r="E1262" s="12" t="str">
        <f t="shared" si="19"/>
        <v>Esquerda</v>
      </c>
    </row>
    <row r="1263" spans="1:5" x14ac:dyDescent="0.3">
      <c r="A1263" t="s">
        <v>440</v>
      </c>
      <c r="B1263" t="s">
        <v>441</v>
      </c>
      <c r="C1263" t="s">
        <v>463</v>
      </c>
      <c r="D1263" t="s">
        <v>460</v>
      </c>
      <c r="E1263" s="12" t="str">
        <f t="shared" si="19"/>
        <v>Esquerda</v>
      </c>
    </row>
    <row r="1264" spans="1:5" x14ac:dyDescent="0.3">
      <c r="A1264" t="s">
        <v>440</v>
      </c>
      <c r="B1264" t="s">
        <v>441</v>
      </c>
      <c r="C1264" t="s">
        <v>420</v>
      </c>
      <c r="D1264" t="s">
        <v>421</v>
      </c>
      <c r="E1264" s="12" t="str">
        <f t="shared" si="19"/>
        <v>Esquerda</v>
      </c>
    </row>
    <row r="1265" spans="1:5" x14ac:dyDescent="0.3">
      <c r="A1265" t="s">
        <v>440</v>
      </c>
      <c r="B1265" t="s">
        <v>441</v>
      </c>
      <c r="C1265" t="s">
        <v>464</v>
      </c>
      <c r="D1265" t="s">
        <v>465</v>
      </c>
      <c r="E1265" s="12" t="str">
        <f t="shared" si="19"/>
        <v>Esquerda</v>
      </c>
    </row>
    <row r="1266" spans="1:5" x14ac:dyDescent="0.3">
      <c r="A1266" t="s">
        <v>440</v>
      </c>
      <c r="B1266" t="s">
        <v>441</v>
      </c>
      <c r="C1266" t="s">
        <v>466</v>
      </c>
      <c r="D1266" t="s">
        <v>467</v>
      </c>
      <c r="E1266" s="12" t="str">
        <f t="shared" si="19"/>
        <v>Esquerda</v>
      </c>
    </row>
    <row r="1267" spans="1:5" x14ac:dyDescent="0.3">
      <c r="A1267" t="s">
        <v>440</v>
      </c>
      <c r="B1267" t="s">
        <v>441</v>
      </c>
      <c r="C1267" t="s">
        <v>182</v>
      </c>
      <c r="D1267" t="s">
        <v>183</v>
      </c>
      <c r="E1267" s="12" t="str">
        <f t="shared" si="19"/>
        <v>Esquerda</v>
      </c>
    </row>
    <row r="1268" spans="1:5" x14ac:dyDescent="0.3">
      <c r="A1268" t="s">
        <v>440</v>
      </c>
      <c r="B1268" t="s">
        <v>441</v>
      </c>
      <c r="C1268" t="s">
        <v>468</v>
      </c>
      <c r="D1268" t="s">
        <v>469</v>
      </c>
      <c r="E1268" s="12" t="str">
        <f t="shared" si="19"/>
        <v>Esquerda</v>
      </c>
    </row>
    <row r="1269" spans="1:5" x14ac:dyDescent="0.3">
      <c r="A1269" t="s">
        <v>440</v>
      </c>
      <c r="B1269" t="s">
        <v>441</v>
      </c>
      <c r="C1269" t="s">
        <v>100</v>
      </c>
      <c r="D1269" t="s">
        <v>440</v>
      </c>
      <c r="E1269" s="12" t="str">
        <f t="shared" si="19"/>
        <v>Esquerda</v>
      </c>
    </row>
    <row r="1270" spans="1:5" x14ac:dyDescent="0.3">
      <c r="A1270" t="s">
        <v>440</v>
      </c>
      <c r="B1270" t="s">
        <v>441</v>
      </c>
      <c r="C1270" t="s">
        <v>470</v>
      </c>
      <c r="D1270" t="s">
        <v>471</v>
      </c>
      <c r="E1270" s="12" t="str">
        <f t="shared" si="19"/>
        <v>Esquerda</v>
      </c>
    </row>
    <row r="1271" spans="1:5" x14ac:dyDescent="0.3">
      <c r="A1271" t="s">
        <v>440</v>
      </c>
      <c r="B1271" t="s">
        <v>441</v>
      </c>
      <c r="C1271" t="s">
        <v>300</v>
      </c>
      <c r="D1271" t="s">
        <v>301</v>
      </c>
      <c r="E1271" s="12" t="str">
        <f t="shared" si="19"/>
        <v>Esquerda</v>
      </c>
    </row>
    <row r="1272" spans="1:5" x14ac:dyDescent="0.3">
      <c r="A1272" t="s">
        <v>440</v>
      </c>
      <c r="B1272" t="s">
        <v>441</v>
      </c>
      <c r="C1272" t="s">
        <v>472</v>
      </c>
      <c r="D1272" t="s">
        <v>473</v>
      </c>
      <c r="E1272" s="12" t="str">
        <f t="shared" si="19"/>
        <v>Esquerda</v>
      </c>
    </row>
    <row r="1273" spans="1:5" x14ac:dyDescent="0.3">
      <c r="A1273" t="s">
        <v>440</v>
      </c>
      <c r="B1273" t="s">
        <v>441</v>
      </c>
      <c r="C1273" t="s">
        <v>474</v>
      </c>
      <c r="D1273" t="s">
        <v>475</v>
      </c>
      <c r="E1273" s="12" t="str">
        <f t="shared" si="19"/>
        <v>Esquerda</v>
      </c>
    </row>
    <row r="1274" spans="1:5" x14ac:dyDescent="0.3">
      <c r="A1274" t="s">
        <v>440</v>
      </c>
      <c r="B1274" t="s">
        <v>441</v>
      </c>
      <c r="C1274" t="s">
        <v>377</v>
      </c>
      <c r="D1274" t="s">
        <v>378</v>
      </c>
      <c r="E1274" s="12" t="str">
        <f t="shared" si="19"/>
        <v>Esquerda</v>
      </c>
    </row>
    <row r="1275" spans="1:5" x14ac:dyDescent="0.3">
      <c r="A1275" t="s">
        <v>440</v>
      </c>
      <c r="B1275" t="s">
        <v>441</v>
      </c>
      <c r="C1275" t="s">
        <v>32</v>
      </c>
      <c r="D1275" t="s">
        <v>33</v>
      </c>
      <c r="E1275" s="12" t="str">
        <f t="shared" si="19"/>
        <v>Esquerda</v>
      </c>
    </row>
    <row r="1276" spans="1:5" x14ac:dyDescent="0.3">
      <c r="A1276" t="s">
        <v>440</v>
      </c>
      <c r="B1276" t="s">
        <v>441</v>
      </c>
      <c r="C1276" t="s">
        <v>476</v>
      </c>
      <c r="D1276" t="s">
        <v>477</v>
      </c>
      <c r="E1276" s="12" t="str">
        <f t="shared" si="19"/>
        <v>Esquerda</v>
      </c>
    </row>
    <row r="1277" spans="1:5" x14ac:dyDescent="0.3">
      <c r="A1277" t="s">
        <v>440</v>
      </c>
      <c r="B1277" t="s">
        <v>441</v>
      </c>
      <c r="C1277" t="s">
        <v>478</v>
      </c>
      <c r="D1277" t="s">
        <v>479</v>
      </c>
      <c r="E1277" s="12" t="str">
        <f t="shared" si="19"/>
        <v>Esquerda</v>
      </c>
    </row>
    <row r="1278" spans="1:5" x14ac:dyDescent="0.3">
      <c r="A1278" t="s">
        <v>440</v>
      </c>
      <c r="B1278" t="s">
        <v>441</v>
      </c>
      <c r="C1278" t="s">
        <v>255</v>
      </c>
      <c r="D1278" t="s">
        <v>256</v>
      </c>
      <c r="E1278" s="12" t="str">
        <f t="shared" si="19"/>
        <v>Esquerda</v>
      </c>
    </row>
    <row r="1279" spans="1:5" x14ac:dyDescent="0.3">
      <c r="A1279" t="s">
        <v>440</v>
      </c>
      <c r="B1279" t="s">
        <v>441</v>
      </c>
      <c r="C1279" t="s">
        <v>480</v>
      </c>
      <c r="D1279" t="s">
        <v>481</v>
      </c>
      <c r="E1279" s="12" t="str">
        <f t="shared" si="19"/>
        <v>Esquerda</v>
      </c>
    </row>
    <row r="1280" spans="1:5" x14ac:dyDescent="0.3">
      <c r="A1280" t="s">
        <v>440</v>
      </c>
      <c r="B1280" t="s">
        <v>441</v>
      </c>
      <c r="C1280" t="s">
        <v>482</v>
      </c>
      <c r="D1280" t="s">
        <v>483</v>
      </c>
      <c r="E1280" s="12" t="str">
        <f t="shared" si="19"/>
        <v>Esquerda</v>
      </c>
    </row>
    <row r="1281" spans="1:5" x14ac:dyDescent="0.3">
      <c r="A1281" t="s">
        <v>440</v>
      </c>
      <c r="B1281" t="s">
        <v>441</v>
      </c>
      <c r="C1281" t="s">
        <v>381</v>
      </c>
      <c r="D1281" t="s">
        <v>382</v>
      </c>
      <c r="E1281" s="12" t="str">
        <f t="shared" si="19"/>
        <v>Esquerda</v>
      </c>
    </row>
    <row r="1282" spans="1:5" x14ac:dyDescent="0.3">
      <c r="A1282" t="s">
        <v>440</v>
      </c>
      <c r="B1282" t="s">
        <v>441</v>
      </c>
      <c r="C1282" t="s">
        <v>98</v>
      </c>
      <c r="D1282" t="s">
        <v>99</v>
      </c>
      <c r="E1282" s="12" t="str">
        <f t="shared" si="19"/>
        <v>Esquerda</v>
      </c>
    </row>
    <row r="1283" spans="1:5" x14ac:dyDescent="0.3">
      <c r="A1283" t="s">
        <v>388</v>
      </c>
      <c r="B1283" t="s">
        <v>389</v>
      </c>
      <c r="C1283" t="s">
        <v>390</v>
      </c>
      <c r="D1283" t="s">
        <v>391</v>
      </c>
      <c r="E1283" s="12" t="str">
        <f t="shared" ref="E1283:E1346" si="20">IF(INDEX(K:K,MATCH(A1283,I:I,0))&lt;&gt;0,INDEX(K:K,MATCH(A1283,I:I,0)),"")</f>
        <v>Centro direita</v>
      </c>
    </row>
    <row r="1284" spans="1:5" x14ac:dyDescent="0.3">
      <c r="A1284" t="s">
        <v>388</v>
      </c>
      <c r="B1284" t="s">
        <v>389</v>
      </c>
      <c r="C1284" t="s">
        <v>392</v>
      </c>
      <c r="D1284" t="s">
        <v>393</v>
      </c>
      <c r="E1284" s="12" t="str">
        <f t="shared" si="20"/>
        <v>Centro direita</v>
      </c>
    </row>
    <row r="1285" spans="1:5" x14ac:dyDescent="0.3">
      <c r="A1285" t="s">
        <v>388</v>
      </c>
      <c r="B1285" t="s">
        <v>389</v>
      </c>
      <c r="C1285" t="s">
        <v>349</v>
      </c>
      <c r="D1285" t="s">
        <v>350</v>
      </c>
      <c r="E1285" s="12" t="str">
        <f t="shared" si="20"/>
        <v>Centro direita</v>
      </c>
    </row>
    <row r="1286" spans="1:5" x14ac:dyDescent="0.3">
      <c r="A1286" t="s">
        <v>388</v>
      </c>
      <c r="B1286" t="s">
        <v>389</v>
      </c>
      <c r="C1286" t="s">
        <v>394</v>
      </c>
      <c r="D1286" t="s">
        <v>395</v>
      </c>
      <c r="E1286" s="12" t="str">
        <f t="shared" si="20"/>
        <v>Centro direita</v>
      </c>
    </row>
    <row r="1287" spans="1:5" x14ac:dyDescent="0.3">
      <c r="A1287" t="s">
        <v>388</v>
      </c>
      <c r="B1287" t="s">
        <v>389</v>
      </c>
      <c r="C1287" t="s">
        <v>10</v>
      </c>
      <c r="D1287" t="s">
        <v>11</v>
      </c>
      <c r="E1287" s="12" t="str">
        <f t="shared" si="20"/>
        <v>Centro direita</v>
      </c>
    </row>
    <row r="1288" spans="1:5" x14ac:dyDescent="0.3">
      <c r="A1288" t="s">
        <v>388</v>
      </c>
      <c r="B1288" t="s">
        <v>389</v>
      </c>
      <c r="C1288" t="s">
        <v>396</v>
      </c>
      <c r="D1288" t="s">
        <v>397</v>
      </c>
      <c r="E1288" s="12" t="str">
        <f t="shared" si="20"/>
        <v>Centro direita</v>
      </c>
    </row>
    <row r="1289" spans="1:5" x14ac:dyDescent="0.3">
      <c r="A1289" t="s">
        <v>388</v>
      </c>
      <c r="B1289" t="s">
        <v>389</v>
      </c>
      <c r="C1289" t="s">
        <v>398</v>
      </c>
      <c r="D1289" t="s">
        <v>399</v>
      </c>
      <c r="E1289" s="12" t="str">
        <f t="shared" si="20"/>
        <v>Centro direita</v>
      </c>
    </row>
    <row r="1290" spans="1:5" x14ac:dyDescent="0.3">
      <c r="A1290" t="s">
        <v>388</v>
      </c>
      <c r="B1290" t="s">
        <v>389</v>
      </c>
      <c r="C1290" t="s">
        <v>400</v>
      </c>
      <c r="D1290" t="s">
        <v>401</v>
      </c>
      <c r="E1290" s="12" t="str">
        <f t="shared" si="20"/>
        <v>Centro direita</v>
      </c>
    </row>
    <row r="1291" spans="1:5" x14ac:dyDescent="0.3">
      <c r="A1291" t="s">
        <v>388</v>
      </c>
      <c r="B1291" t="s">
        <v>389</v>
      </c>
      <c r="C1291" t="s">
        <v>402</v>
      </c>
      <c r="D1291" t="s">
        <v>403</v>
      </c>
      <c r="E1291" s="12" t="str">
        <f t="shared" si="20"/>
        <v>Centro direita</v>
      </c>
    </row>
    <row r="1292" spans="1:5" x14ac:dyDescent="0.3">
      <c r="A1292" t="s">
        <v>388</v>
      </c>
      <c r="B1292" t="s">
        <v>389</v>
      </c>
      <c r="C1292" t="s">
        <v>404</v>
      </c>
      <c r="D1292" t="s">
        <v>405</v>
      </c>
      <c r="E1292" s="12" t="str">
        <f t="shared" si="20"/>
        <v>Centro direita</v>
      </c>
    </row>
    <row r="1293" spans="1:5" x14ac:dyDescent="0.3">
      <c r="A1293" t="s">
        <v>388</v>
      </c>
      <c r="B1293" t="s">
        <v>389</v>
      </c>
      <c r="C1293" t="s">
        <v>406</v>
      </c>
      <c r="D1293" t="s">
        <v>407</v>
      </c>
      <c r="E1293" s="12" t="str">
        <f t="shared" si="20"/>
        <v>Centro direita</v>
      </c>
    </row>
    <row r="1294" spans="1:5" x14ac:dyDescent="0.3">
      <c r="A1294" t="s">
        <v>388</v>
      </c>
      <c r="B1294" t="s">
        <v>389</v>
      </c>
      <c r="C1294" t="s">
        <v>408</v>
      </c>
      <c r="D1294" t="s">
        <v>409</v>
      </c>
      <c r="E1294" s="12" t="str">
        <f t="shared" si="20"/>
        <v>Centro direita</v>
      </c>
    </row>
    <row r="1295" spans="1:5" x14ac:dyDescent="0.3">
      <c r="A1295" t="s">
        <v>388</v>
      </c>
      <c r="B1295" t="s">
        <v>389</v>
      </c>
      <c r="C1295" t="s">
        <v>294</v>
      </c>
      <c r="D1295" t="s">
        <v>295</v>
      </c>
      <c r="E1295" s="12" t="str">
        <f t="shared" si="20"/>
        <v>Centro direita</v>
      </c>
    </row>
    <row r="1296" spans="1:5" x14ac:dyDescent="0.3">
      <c r="A1296" t="s">
        <v>388</v>
      </c>
      <c r="B1296" t="s">
        <v>389</v>
      </c>
      <c r="C1296" t="s">
        <v>296</v>
      </c>
      <c r="D1296" t="s">
        <v>297</v>
      </c>
      <c r="E1296" s="12" t="str">
        <f t="shared" si="20"/>
        <v>Centro direita</v>
      </c>
    </row>
    <row r="1297" spans="1:5" x14ac:dyDescent="0.3">
      <c r="A1297" t="s">
        <v>388</v>
      </c>
      <c r="B1297" t="s">
        <v>389</v>
      </c>
      <c r="C1297" t="s">
        <v>54</v>
      </c>
      <c r="D1297" t="s">
        <v>55</v>
      </c>
      <c r="E1297" s="12" t="str">
        <f t="shared" si="20"/>
        <v>Centro direita</v>
      </c>
    </row>
    <row r="1298" spans="1:5" x14ac:dyDescent="0.3">
      <c r="A1298" t="s">
        <v>388</v>
      </c>
      <c r="B1298" t="s">
        <v>389</v>
      </c>
      <c r="C1298" t="s">
        <v>410</v>
      </c>
      <c r="D1298" t="s">
        <v>411</v>
      </c>
      <c r="E1298" s="12" t="str">
        <f t="shared" si="20"/>
        <v>Centro direita</v>
      </c>
    </row>
    <row r="1299" spans="1:5" x14ac:dyDescent="0.3">
      <c r="A1299" t="s">
        <v>388</v>
      </c>
      <c r="B1299" t="s">
        <v>389</v>
      </c>
      <c r="C1299" t="s">
        <v>412</v>
      </c>
      <c r="D1299" t="s">
        <v>413</v>
      </c>
      <c r="E1299" s="12" t="str">
        <f t="shared" si="20"/>
        <v>Centro direita</v>
      </c>
    </row>
    <row r="1300" spans="1:5" x14ac:dyDescent="0.3">
      <c r="A1300" t="s">
        <v>388</v>
      </c>
      <c r="B1300" t="s">
        <v>389</v>
      </c>
      <c r="C1300" t="s">
        <v>28</v>
      </c>
      <c r="D1300" t="s">
        <v>29</v>
      </c>
      <c r="E1300" s="12" t="str">
        <f t="shared" si="20"/>
        <v>Centro direita</v>
      </c>
    </row>
    <row r="1301" spans="1:5" x14ac:dyDescent="0.3">
      <c r="A1301" t="s">
        <v>388</v>
      </c>
      <c r="B1301" t="s">
        <v>389</v>
      </c>
      <c r="C1301" t="s">
        <v>414</v>
      </c>
      <c r="D1301" t="s">
        <v>415</v>
      </c>
      <c r="E1301" s="12" t="str">
        <f t="shared" si="20"/>
        <v>Centro direita</v>
      </c>
    </row>
    <row r="1302" spans="1:5" x14ac:dyDescent="0.3">
      <c r="A1302" t="s">
        <v>388</v>
      </c>
      <c r="B1302" t="s">
        <v>389</v>
      </c>
      <c r="C1302" t="s">
        <v>416</v>
      </c>
      <c r="D1302" t="s">
        <v>417</v>
      </c>
      <c r="E1302" s="12" t="str">
        <f t="shared" si="20"/>
        <v>Centro direita</v>
      </c>
    </row>
    <row r="1303" spans="1:5" x14ac:dyDescent="0.3">
      <c r="A1303" t="s">
        <v>388</v>
      </c>
      <c r="B1303" t="s">
        <v>389</v>
      </c>
      <c r="C1303" t="s">
        <v>326</v>
      </c>
      <c r="D1303" t="s">
        <v>323</v>
      </c>
      <c r="E1303" s="12" t="str">
        <f t="shared" si="20"/>
        <v>Centro direita</v>
      </c>
    </row>
    <row r="1304" spans="1:5" x14ac:dyDescent="0.3">
      <c r="A1304" t="s">
        <v>388</v>
      </c>
      <c r="B1304" t="s">
        <v>389</v>
      </c>
      <c r="C1304" t="s">
        <v>418</v>
      </c>
      <c r="D1304" t="s">
        <v>419</v>
      </c>
      <c r="E1304" s="12" t="str">
        <f t="shared" si="20"/>
        <v>Centro direita</v>
      </c>
    </row>
    <row r="1305" spans="1:5" x14ac:dyDescent="0.3">
      <c r="A1305" t="s">
        <v>388</v>
      </c>
      <c r="B1305" t="s">
        <v>389</v>
      </c>
      <c r="C1305" t="s">
        <v>420</v>
      </c>
      <c r="D1305" t="s">
        <v>421</v>
      </c>
      <c r="E1305" s="12" t="str">
        <f t="shared" si="20"/>
        <v>Centro direita</v>
      </c>
    </row>
    <row r="1306" spans="1:5" x14ac:dyDescent="0.3">
      <c r="A1306" t="s">
        <v>388</v>
      </c>
      <c r="B1306" t="s">
        <v>389</v>
      </c>
      <c r="C1306" t="s">
        <v>327</v>
      </c>
      <c r="D1306" t="s">
        <v>323</v>
      </c>
      <c r="E1306" s="12" t="str">
        <f t="shared" si="20"/>
        <v>Centro direita</v>
      </c>
    </row>
    <row r="1307" spans="1:5" x14ac:dyDescent="0.3">
      <c r="A1307" t="s">
        <v>388</v>
      </c>
      <c r="B1307" t="s">
        <v>389</v>
      </c>
      <c r="C1307" t="s">
        <v>300</v>
      </c>
      <c r="D1307" t="s">
        <v>301</v>
      </c>
      <c r="E1307" s="12" t="str">
        <f t="shared" si="20"/>
        <v>Centro direita</v>
      </c>
    </row>
    <row r="1308" spans="1:5" x14ac:dyDescent="0.3">
      <c r="A1308" t="s">
        <v>388</v>
      </c>
      <c r="B1308" t="s">
        <v>389</v>
      </c>
      <c r="C1308" t="s">
        <v>60</v>
      </c>
      <c r="D1308" t="s">
        <v>61</v>
      </c>
      <c r="E1308" s="12" t="str">
        <f t="shared" si="20"/>
        <v>Centro direita</v>
      </c>
    </row>
    <row r="1309" spans="1:5" x14ac:dyDescent="0.3">
      <c r="A1309" t="s">
        <v>388</v>
      </c>
      <c r="B1309" t="s">
        <v>389</v>
      </c>
      <c r="C1309" t="s">
        <v>62</v>
      </c>
      <c r="D1309" t="s">
        <v>63</v>
      </c>
      <c r="E1309" s="12" t="str">
        <f t="shared" si="20"/>
        <v>Centro direita</v>
      </c>
    </row>
    <row r="1310" spans="1:5" x14ac:dyDescent="0.3">
      <c r="A1310" t="s">
        <v>388</v>
      </c>
      <c r="B1310" t="s">
        <v>389</v>
      </c>
      <c r="C1310" t="s">
        <v>96</v>
      </c>
      <c r="D1310" t="s">
        <v>97</v>
      </c>
      <c r="E1310" s="12" t="str">
        <f t="shared" si="20"/>
        <v>Centro direita</v>
      </c>
    </row>
    <row r="1311" spans="1:5" x14ac:dyDescent="0.3">
      <c r="A1311" t="s">
        <v>388</v>
      </c>
      <c r="B1311" t="s">
        <v>389</v>
      </c>
      <c r="C1311" t="s">
        <v>74</v>
      </c>
      <c r="D1311" t="s">
        <v>75</v>
      </c>
      <c r="E1311" s="12" t="str">
        <f t="shared" si="20"/>
        <v>Centro direita</v>
      </c>
    </row>
    <row r="1312" spans="1:5" x14ac:dyDescent="0.3">
      <c r="A1312" t="s">
        <v>388</v>
      </c>
      <c r="B1312" t="s">
        <v>389</v>
      </c>
      <c r="C1312" t="s">
        <v>422</v>
      </c>
      <c r="D1312" t="s">
        <v>423</v>
      </c>
      <c r="E1312" s="12" t="str">
        <f t="shared" si="20"/>
        <v>Centro direita</v>
      </c>
    </row>
    <row r="1313" spans="1:5" x14ac:dyDescent="0.3">
      <c r="A1313" t="s">
        <v>388</v>
      </c>
      <c r="B1313" t="s">
        <v>389</v>
      </c>
      <c r="C1313" t="s">
        <v>424</v>
      </c>
      <c r="D1313" t="s">
        <v>425</v>
      </c>
      <c r="E1313" s="12" t="str">
        <f t="shared" si="20"/>
        <v>Centro direita</v>
      </c>
    </row>
    <row r="1314" spans="1:5" x14ac:dyDescent="0.3">
      <c r="A1314" t="s">
        <v>388</v>
      </c>
      <c r="B1314" t="s">
        <v>389</v>
      </c>
      <c r="C1314" t="s">
        <v>426</v>
      </c>
      <c r="D1314" t="s">
        <v>427</v>
      </c>
      <c r="E1314" s="12" t="str">
        <f t="shared" si="20"/>
        <v>Centro direita</v>
      </c>
    </row>
    <row r="1315" spans="1:5" x14ac:dyDescent="0.3">
      <c r="A1315" t="s">
        <v>388</v>
      </c>
      <c r="B1315" t="s">
        <v>389</v>
      </c>
      <c r="C1315" t="s">
        <v>428</v>
      </c>
      <c r="D1315" t="s">
        <v>429</v>
      </c>
      <c r="E1315" s="12" t="str">
        <f t="shared" si="20"/>
        <v>Centro direita</v>
      </c>
    </row>
    <row r="1316" spans="1:5" x14ac:dyDescent="0.3">
      <c r="A1316" t="s">
        <v>388</v>
      </c>
      <c r="B1316" t="s">
        <v>389</v>
      </c>
      <c r="C1316" t="s">
        <v>430</v>
      </c>
      <c r="D1316" t="s">
        <v>431</v>
      </c>
      <c r="E1316" s="12" t="str">
        <f t="shared" si="20"/>
        <v>Centro direita</v>
      </c>
    </row>
    <row r="1317" spans="1:5" x14ac:dyDescent="0.3">
      <c r="A1317" t="s">
        <v>388</v>
      </c>
      <c r="B1317" t="s">
        <v>389</v>
      </c>
      <c r="C1317" t="s">
        <v>432</v>
      </c>
      <c r="D1317" t="s">
        <v>433</v>
      </c>
      <c r="E1317" s="12" t="str">
        <f t="shared" si="20"/>
        <v>Centro direita</v>
      </c>
    </row>
    <row r="1318" spans="1:5" x14ac:dyDescent="0.3">
      <c r="A1318" t="s">
        <v>388</v>
      </c>
      <c r="B1318" t="s">
        <v>389</v>
      </c>
      <c r="C1318" t="s">
        <v>324</v>
      </c>
      <c r="D1318" t="s">
        <v>325</v>
      </c>
      <c r="E1318" s="12" t="str">
        <f t="shared" si="20"/>
        <v>Centro direita</v>
      </c>
    </row>
    <row r="1319" spans="1:5" x14ac:dyDescent="0.3">
      <c r="A1319" t="s">
        <v>388</v>
      </c>
      <c r="B1319" t="s">
        <v>389</v>
      </c>
      <c r="C1319" t="s">
        <v>434</v>
      </c>
      <c r="D1319" t="s">
        <v>435</v>
      </c>
      <c r="E1319" s="12" t="str">
        <f t="shared" si="20"/>
        <v>Centro direita</v>
      </c>
    </row>
    <row r="1320" spans="1:5" x14ac:dyDescent="0.3">
      <c r="A1320" t="s">
        <v>388</v>
      </c>
      <c r="B1320" t="s">
        <v>389</v>
      </c>
      <c r="C1320" t="s">
        <v>100</v>
      </c>
      <c r="D1320" t="s">
        <v>388</v>
      </c>
      <c r="E1320" s="12" t="str">
        <f t="shared" si="20"/>
        <v>Centro direita</v>
      </c>
    </row>
    <row r="1321" spans="1:5" x14ac:dyDescent="0.3">
      <c r="A1321" t="s">
        <v>388</v>
      </c>
      <c r="B1321" t="s">
        <v>389</v>
      </c>
      <c r="C1321" t="s">
        <v>383</v>
      </c>
      <c r="D1321" t="s">
        <v>384</v>
      </c>
      <c r="E1321" s="12" t="str">
        <f t="shared" si="20"/>
        <v>Centro direita</v>
      </c>
    </row>
    <row r="1322" spans="1:5" x14ac:dyDescent="0.3">
      <c r="A1322" t="s">
        <v>388</v>
      </c>
      <c r="B1322" t="s">
        <v>389</v>
      </c>
      <c r="C1322" t="s">
        <v>436</v>
      </c>
      <c r="D1322" t="s">
        <v>437</v>
      </c>
      <c r="E1322" s="12" t="str">
        <f t="shared" si="20"/>
        <v>Centro direita</v>
      </c>
    </row>
    <row r="1323" spans="1:5" x14ac:dyDescent="0.3">
      <c r="A1323" t="s">
        <v>388</v>
      </c>
      <c r="B1323" t="s">
        <v>389</v>
      </c>
      <c r="C1323" t="s">
        <v>438</v>
      </c>
      <c r="D1323" t="s">
        <v>439</v>
      </c>
      <c r="E1323" s="12" t="str">
        <f t="shared" si="20"/>
        <v>Centro direita</v>
      </c>
    </row>
    <row r="1324" spans="1:5" x14ac:dyDescent="0.3">
      <c r="A1324" t="s">
        <v>334</v>
      </c>
      <c r="B1324" t="s">
        <v>335</v>
      </c>
      <c r="C1324" t="s">
        <v>336</v>
      </c>
      <c r="D1324" t="s">
        <v>337</v>
      </c>
      <c r="E1324" s="12" t="str">
        <f t="shared" si="20"/>
        <v>Centro esquerda</v>
      </c>
    </row>
    <row r="1325" spans="1:5" x14ac:dyDescent="0.3">
      <c r="A1325" t="s">
        <v>334</v>
      </c>
      <c r="B1325" t="s">
        <v>335</v>
      </c>
      <c r="C1325" t="s">
        <v>218</v>
      </c>
      <c r="D1325" t="s">
        <v>219</v>
      </c>
      <c r="E1325" s="12" t="str">
        <f t="shared" si="20"/>
        <v>Centro esquerda</v>
      </c>
    </row>
    <row r="1326" spans="1:5" x14ac:dyDescent="0.3">
      <c r="A1326" t="s">
        <v>334</v>
      </c>
      <c r="B1326" t="s">
        <v>335</v>
      </c>
      <c r="C1326" t="s">
        <v>338</v>
      </c>
      <c r="D1326" t="s">
        <v>339</v>
      </c>
      <c r="E1326" s="12" t="str">
        <f t="shared" si="20"/>
        <v>Centro esquerda</v>
      </c>
    </row>
    <row r="1327" spans="1:5" x14ac:dyDescent="0.3">
      <c r="A1327" t="s">
        <v>334</v>
      </c>
      <c r="B1327" t="s">
        <v>335</v>
      </c>
      <c r="C1327" t="s">
        <v>340</v>
      </c>
      <c r="D1327" t="s">
        <v>341</v>
      </c>
      <c r="E1327" s="12" t="str">
        <f t="shared" si="20"/>
        <v>Centro esquerda</v>
      </c>
    </row>
    <row r="1328" spans="1:5" x14ac:dyDescent="0.3">
      <c r="A1328" t="s">
        <v>334</v>
      </c>
      <c r="B1328" t="s">
        <v>335</v>
      </c>
      <c r="C1328" t="s">
        <v>342</v>
      </c>
      <c r="D1328" t="s">
        <v>341</v>
      </c>
      <c r="E1328" s="12" t="str">
        <f t="shared" si="20"/>
        <v>Centro esquerda</v>
      </c>
    </row>
    <row r="1329" spans="1:5" x14ac:dyDescent="0.3">
      <c r="A1329" t="s">
        <v>334</v>
      </c>
      <c r="B1329" t="s">
        <v>335</v>
      </c>
      <c r="C1329" t="s">
        <v>343</v>
      </c>
      <c r="D1329" t="s">
        <v>344</v>
      </c>
      <c r="E1329" s="12" t="str">
        <f t="shared" si="20"/>
        <v>Centro esquerda</v>
      </c>
    </row>
    <row r="1330" spans="1:5" x14ac:dyDescent="0.3">
      <c r="A1330" t="s">
        <v>334</v>
      </c>
      <c r="B1330" t="s">
        <v>335</v>
      </c>
      <c r="C1330" t="s">
        <v>24</v>
      </c>
      <c r="D1330" t="s">
        <v>25</v>
      </c>
      <c r="E1330" s="12" t="str">
        <f t="shared" si="20"/>
        <v>Centro esquerda</v>
      </c>
    </row>
    <row r="1331" spans="1:5" x14ac:dyDescent="0.3">
      <c r="A1331" t="s">
        <v>334</v>
      </c>
      <c r="B1331" t="s">
        <v>335</v>
      </c>
      <c r="C1331" t="s">
        <v>345</v>
      </c>
      <c r="D1331" t="s">
        <v>346</v>
      </c>
      <c r="E1331" s="12" t="str">
        <f t="shared" si="20"/>
        <v>Centro esquerda</v>
      </c>
    </row>
    <row r="1332" spans="1:5" x14ac:dyDescent="0.3">
      <c r="A1332" t="s">
        <v>334</v>
      </c>
      <c r="B1332" t="s">
        <v>335</v>
      </c>
      <c r="C1332" t="s">
        <v>347</v>
      </c>
      <c r="D1332" t="s">
        <v>348</v>
      </c>
      <c r="E1332" s="12" t="str">
        <f t="shared" si="20"/>
        <v>Centro esquerda</v>
      </c>
    </row>
    <row r="1333" spans="1:5" x14ac:dyDescent="0.3">
      <c r="A1333" t="s">
        <v>334</v>
      </c>
      <c r="B1333" t="s">
        <v>335</v>
      </c>
      <c r="C1333" t="s">
        <v>349</v>
      </c>
      <c r="D1333" t="s">
        <v>350</v>
      </c>
      <c r="E1333" s="12" t="str">
        <f t="shared" si="20"/>
        <v>Centro esquerda</v>
      </c>
    </row>
    <row r="1334" spans="1:5" x14ac:dyDescent="0.3">
      <c r="A1334" t="s">
        <v>334</v>
      </c>
      <c r="B1334" t="s">
        <v>335</v>
      </c>
      <c r="C1334" t="s">
        <v>161</v>
      </c>
      <c r="D1334" t="s">
        <v>162</v>
      </c>
      <c r="E1334" s="12" t="str">
        <f t="shared" si="20"/>
        <v>Centro esquerda</v>
      </c>
    </row>
    <row r="1335" spans="1:5" x14ac:dyDescent="0.3">
      <c r="A1335" t="s">
        <v>334</v>
      </c>
      <c r="B1335" t="s">
        <v>335</v>
      </c>
      <c r="C1335" t="s">
        <v>274</v>
      </c>
      <c r="D1335" t="s">
        <v>275</v>
      </c>
      <c r="E1335" s="12" t="str">
        <f t="shared" si="20"/>
        <v>Centro esquerda</v>
      </c>
    </row>
    <row r="1336" spans="1:5" x14ac:dyDescent="0.3">
      <c r="A1336" t="s">
        <v>334</v>
      </c>
      <c r="B1336" t="s">
        <v>335</v>
      </c>
      <c r="C1336" t="s">
        <v>351</v>
      </c>
      <c r="D1336" t="s">
        <v>352</v>
      </c>
      <c r="E1336" s="12" t="str">
        <f t="shared" si="20"/>
        <v>Centro esquerda</v>
      </c>
    </row>
    <row r="1337" spans="1:5" x14ac:dyDescent="0.3">
      <c r="A1337" t="s">
        <v>334</v>
      </c>
      <c r="B1337" t="s">
        <v>335</v>
      </c>
      <c r="C1337" t="s">
        <v>165</v>
      </c>
      <c r="D1337" t="s">
        <v>166</v>
      </c>
      <c r="E1337" s="12" t="str">
        <f t="shared" si="20"/>
        <v>Centro esquerda</v>
      </c>
    </row>
    <row r="1338" spans="1:5" x14ac:dyDescent="0.3">
      <c r="A1338" t="s">
        <v>334</v>
      </c>
      <c r="B1338" t="s">
        <v>335</v>
      </c>
      <c r="C1338" t="s">
        <v>353</v>
      </c>
      <c r="D1338" t="s">
        <v>354</v>
      </c>
      <c r="E1338" s="12" t="str">
        <f t="shared" si="20"/>
        <v>Centro esquerda</v>
      </c>
    </row>
    <row r="1339" spans="1:5" x14ac:dyDescent="0.3">
      <c r="A1339" t="s">
        <v>334</v>
      </c>
      <c r="B1339" t="s">
        <v>335</v>
      </c>
      <c r="C1339" t="s">
        <v>182</v>
      </c>
      <c r="D1339" t="s">
        <v>183</v>
      </c>
      <c r="E1339" s="12" t="str">
        <f t="shared" si="20"/>
        <v>Centro esquerda</v>
      </c>
    </row>
    <row r="1340" spans="1:5" x14ac:dyDescent="0.3">
      <c r="A1340" t="s">
        <v>334</v>
      </c>
      <c r="B1340" t="s">
        <v>335</v>
      </c>
      <c r="C1340" t="s">
        <v>355</v>
      </c>
      <c r="D1340" t="s">
        <v>356</v>
      </c>
      <c r="E1340" s="12" t="str">
        <f t="shared" si="20"/>
        <v>Centro esquerda</v>
      </c>
    </row>
    <row r="1341" spans="1:5" x14ac:dyDescent="0.3">
      <c r="A1341" t="s">
        <v>334</v>
      </c>
      <c r="B1341" t="s">
        <v>335</v>
      </c>
      <c r="C1341" t="s">
        <v>20</v>
      </c>
      <c r="D1341" t="s">
        <v>21</v>
      </c>
      <c r="E1341" s="12" t="str">
        <f t="shared" si="20"/>
        <v>Centro esquerda</v>
      </c>
    </row>
    <row r="1342" spans="1:5" x14ac:dyDescent="0.3">
      <c r="A1342" t="s">
        <v>334</v>
      </c>
      <c r="B1342" t="s">
        <v>335</v>
      </c>
      <c r="C1342" t="s">
        <v>151</v>
      </c>
      <c r="D1342" t="s">
        <v>152</v>
      </c>
      <c r="E1342" s="12" t="str">
        <f t="shared" si="20"/>
        <v>Centro esquerda</v>
      </c>
    </row>
    <row r="1343" spans="1:5" x14ac:dyDescent="0.3">
      <c r="A1343" t="s">
        <v>334</v>
      </c>
      <c r="B1343" t="s">
        <v>335</v>
      </c>
      <c r="C1343" t="s">
        <v>84</v>
      </c>
      <c r="D1343" t="s">
        <v>85</v>
      </c>
      <c r="E1343" s="12" t="str">
        <f t="shared" si="20"/>
        <v>Centro esquerda</v>
      </c>
    </row>
    <row r="1344" spans="1:5" x14ac:dyDescent="0.3">
      <c r="A1344" t="s">
        <v>334</v>
      </c>
      <c r="B1344" t="s">
        <v>335</v>
      </c>
      <c r="C1344" t="s">
        <v>192</v>
      </c>
      <c r="D1344" t="s">
        <v>193</v>
      </c>
      <c r="E1344" s="12" t="str">
        <f t="shared" si="20"/>
        <v>Centro esquerda</v>
      </c>
    </row>
    <row r="1345" spans="1:5" x14ac:dyDescent="0.3">
      <c r="A1345" t="s">
        <v>334</v>
      </c>
      <c r="B1345" t="s">
        <v>335</v>
      </c>
      <c r="C1345" t="s">
        <v>88</v>
      </c>
      <c r="D1345" t="s">
        <v>89</v>
      </c>
      <c r="E1345" s="12" t="str">
        <f t="shared" si="20"/>
        <v>Centro esquerda</v>
      </c>
    </row>
    <row r="1346" spans="1:5" x14ac:dyDescent="0.3">
      <c r="A1346" t="s">
        <v>334</v>
      </c>
      <c r="B1346" t="s">
        <v>335</v>
      </c>
      <c r="C1346" t="s">
        <v>194</v>
      </c>
      <c r="D1346" t="s">
        <v>195</v>
      </c>
      <c r="E1346" s="12" t="str">
        <f t="shared" si="20"/>
        <v>Centro esquerda</v>
      </c>
    </row>
    <row r="1347" spans="1:5" x14ac:dyDescent="0.3">
      <c r="A1347" t="s">
        <v>334</v>
      </c>
      <c r="B1347" t="s">
        <v>335</v>
      </c>
      <c r="C1347" t="s">
        <v>357</v>
      </c>
      <c r="D1347" t="s">
        <v>358</v>
      </c>
      <c r="E1347" s="12" t="str">
        <f t="shared" ref="E1347:E1410" si="21">IF(INDEX(K:K,MATCH(A1347,I:I,0))&lt;&gt;0,INDEX(K:K,MATCH(A1347,I:I,0)),"")</f>
        <v>Centro esquerda</v>
      </c>
    </row>
    <row r="1348" spans="1:5" x14ac:dyDescent="0.3">
      <c r="A1348" t="s">
        <v>334</v>
      </c>
      <c r="B1348" t="s">
        <v>335</v>
      </c>
      <c r="C1348" t="s">
        <v>272</v>
      </c>
      <c r="D1348" t="s">
        <v>273</v>
      </c>
      <c r="E1348" s="12" t="str">
        <f t="shared" si="21"/>
        <v>Centro esquerda</v>
      </c>
    </row>
    <row r="1349" spans="1:5" x14ac:dyDescent="0.3">
      <c r="A1349" t="s">
        <v>334</v>
      </c>
      <c r="B1349" t="s">
        <v>335</v>
      </c>
      <c r="C1349" t="s">
        <v>359</v>
      </c>
      <c r="D1349" t="s">
        <v>360</v>
      </c>
      <c r="E1349" s="12" t="str">
        <f t="shared" si="21"/>
        <v>Centro esquerda</v>
      </c>
    </row>
    <row r="1350" spans="1:5" x14ac:dyDescent="0.3">
      <c r="A1350" t="s">
        <v>334</v>
      </c>
      <c r="B1350" t="s">
        <v>335</v>
      </c>
      <c r="C1350" t="s">
        <v>361</v>
      </c>
      <c r="D1350" t="s">
        <v>362</v>
      </c>
      <c r="E1350" s="12" t="str">
        <f t="shared" si="21"/>
        <v>Centro esquerda</v>
      </c>
    </row>
    <row r="1351" spans="1:5" x14ac:dyDescent="0.3">
      <c r="A1351" t="s">
        <v>334</v>
      </c>
      <c r="B1351" t="s">
        <v>335</v>
      </c>
      <c r="C1351" t="s">
        <v>145</v>
      </c>
      <c r="D1351" t="s">
        <v>146</v>
      </c>
      <c r="E1351" s="12" t="str">
        <f t="shared" si="21"/>
        <v>Centro esquerda</v>
      </c>
    </row>
    <row r="1352" spans="1:5" x14ac:dyDescent="0.3">
      <c r="A1352" t="s">
        <v>334</v>
      </c>
      <c r="B1352" t="s">
        <v>335</v>
      </c>
      <c r="C1352" t="s">
        <v>147</v>
      </c>
      <c r="D1352" t="s">
        <v>148</v>
      </c>
      <c r="E1352" s="12" t="str">
        <f t="shared" si="21"/>
        <v>Centro esquerda</v>
      </c>
    </row>
    <row r="1353" spans="1:5" x14ac:dyDescent="0.3">
      <c r="A1353" t="s">
        <v>334</v>
      </c>
      <c r="B1353" t="s">
        <v>335</v>
      </c>
      <c r="C1353" t="s">
        <v>363</v>
      </c>
      <c r="D1353" t="s">
        <v>364</v>
      </c>
      <c r="E1353" s="12" t="str">
        <f t="shared" si="21"/>
        <v>Centro esquerda</v>
      </c>
    </row>
    <row r="1354" spans="1:5" x14ac:dyDescent="0.3">
      <c r="A1354" t="s">
        <v>334</v>
      </c>
      <c r="B1354" t="s">
        <v>335</v>
      </c>
      <c r="C1354" t="s">
        <v>365</v>
      </c>
      <c r="D1354" t="s">
        <v>366</v>
      </c>
      <c r="E1354" s="12" t="str">
        <f t="shared" si="21"/>
        <v>Centro esquerda</v>
      </c>
    </row>
    <row r="1355" spans="1:5" x14ac:dyDescent="0.3">
      <c r="A1355" t="s">
        <v>334</v>
      </c>
      <c r="B1355" t="s">
        <v>335</v>
      </c>
      <c r="C1355" t="s">
        <v>367</v>
      </c>
      <c r="D1355" t="s">
        <v>368</v>
      </c>
      <c r="E1355" s="12" t="str">
        <f t="shared" si="21"/>
        <v>Centro esquerda</v>
      </c>
    </row>
    <row r="1356" spans="1:5" x14ac:dyDescent="0.3">
      <c r="A1356" t="s">
        <v>334</v>
      </c>
      <c r="B1356" t="s">
        <v>335</v>
      </c>
      <c r="C1356" t="s">
        <v>369</v>
      </c>
      <c r="D1356" t="s">
        <v>370</v>
      </c>
      <c r="E1356" s="12" t="str">
        <f t="shared" si="21"/>
        <v>Centro esquerda</v>
      </c>
    </row>
    <row r="1357" spans="1:5" x14ac:dyDescent="0.3">
      <c r="A1357" t="s">
        <v>334</v>
      </c>
      <c r="B1357" t="s">
        <v>335</v>
      </c>
      <c r="C1357" t="s">
        <v>259</v>
      </c>
      <c r="D1357" t="s">
        <v>260</v>
      </c>
      <c r="E1357" s="12" t="str">
        <f t="shared" si="21"/>
        <v>Centro esquerda</v>
      </c>
    </row>
    <row r="1358" spans="1:5" x14ac:dyDescent="0.3">
      <c r="A1358" t="s">
        <v>334</v>
      </c>
      <c r="B1358" t="s">
        <v>335</v>
      </c>
      <c r="C1358" t="s">
        <v>371</v>
      </c>
      <c r="D1358" t="s">
        <v>372</v>
      </c>
      <c r="E1358" s="12" t="str">
        <f t="shared" si="21"/>
        <v>Centro esquerda</v>
      </c>
    </row>
    <row r="1359" spans="1:5" x14ac:dyDescent="0.3">
      <c r="A1359" t="s">
        <v>334</v>
      </c>
      <c r="B1359" t="s">
        <v>335</v>
      </c>
      <c r="C1359" t="s">
        <v>373</v>
      </c>
      <c r="D1359" t="s">
        <v>374</v>
      </c>
      <c r="E1359" s="12" t="str">
        <f t="shared" si="21"/>
        <v>Centro esquerda</v>
      </c>
    </row>
    <row r="1360" spans="1:5" x14ac:dyDescent="0.3">
      <c r="A1360" t="s">
        <v>334</v>
      </c>
      <c r="B1360" t="s">
        <v>335</v>
      </c>
      <c r="C1360" t="s">
        <v>375</v>
      </c>
      <c r="D1360" t="s">
        <v>376</v>
      </c>
      <c r="E1360" s="12" t="str">
        <f t="shared" si="21"/>
        <v>Centro esquerda</v>
      </c>
    </row>
    <row r="1361" spans="1:5" x14ac:dyDescent="0.3">
      <c r="A1361" t="s">
        <v>334</v>
      </c>
      <c r="B1361" t="s">
        <v>335</v>
      </c>
      <c r="C1361" t="s">
        <v>377</v>
      </c>
      <c r="D1361" t="s">
        <v>378</v>
      </c>
      <c r="E1361" s="12" t="str">
        <f t="shared" si="21"/>
        <v>Centro esquerda</v>
      </c>
    </row>
    <row r="1362" spans="1:5" x14ac:dyDescent="0.3">
      <c r="A1362" t="s">
        <v>334</v>
      </c>
      <c r="B1362" t="s">
        <v>335</v>
      </c>
      <c r="C1362" t="s">
        <v>184</v>
      </c>
      <c r="D1362" t="s">
        <v>185</v>
      </c>
      <c r="E1362" s="12" t="str">
        <f t="shared" si="21"/>
        <v>Centro esquerda</v>
      </c>
    </row>
    <row r="1363" spans="1:5" x14ac:dyDescent="0.3">
      <c r="A1363" t="s">
        <v>334</v>
      </c>
      <c r="B1363" t="s">
        <v>335</v>
      </c>
      <c r="C1363" t="s">
        <v>379</v>
      </c>
      <c r="D1363" t="s">
        <v>380</v>
      </c>
      <c r="E1363" s="12" t="str">
        <f t="shared" si="21"/>
        <v>Centro esquerda</v>
      </c>
    </row>
    <row r="1364" spans="1:5" x14ac:dyDescent="0.3">
      <c r="A1364" t="s">
        <v>334</v>
      </c>
      <c r="B1364" t="s">
        <v>335</v>
      </c>
      <c r="C1364" t="s">
        <v>100</v>
      </c>
      <c r="D1364" t="s">
        <v>334</v>
      </c>
      <c r="E1364" s="12" t="str">
        <f t="shared" si="21"/>
        <v>Centro esquerda</v>
      </c>
    </row>
    <row r="1365" spans="1:5" x14ac:dyDescent="0.3">
      <c r="A1365" t="s">
        <v>334</v>
      </c>
      <c r="B1365" t="s">
        <v>335</v>
      </c>
      <c r="C1365" t="s">
        <v>204</v>
      </c>
      <c r="D1365" t="s">
        <v>205</v>
      </c>
      <c r="E1365" s="12" t="str">
        <f t="shared" si="21"/>
        <v>Centro esquerda</v>
      </c>
    </row>
    <row r="1366" spans="1:5" x14ac:dyDescent="0.3">
      <c r="A1366" t="s">
        <v>334</v>
      </c>
      <c r="B1366" t="s">
        <v>335</v>
      </c>
      <c r="C1366" t="s">
        <v>381</v>
      </c>
      <c r="D1366" t="s">
        <v>382</v>
      </c>
      <c r="E1366" s="12" t="str">
        <f t="shared" si="21"/>
        <v>Centro esquerda</v>
      </c>
    </row>
    <row r="1367" spans="1:5" x14ac:dyDescent="0.3">
      <c r="A1367" t="s">
        <v>334</v>
      </c>
      <c r="B1367" t="s">
        <v>335</v>
      </c>
      <c r="C1367" t="s">
        <v>383</v>
      </c>
      <c r="D1367" t="s">
        <v>384</v>
      </c>
      <c r="E1367" s="12" t="str">
        <f t="shared" si="21"/>
        <v>Centro esquerda</v>
      </c>
    </row>
    <row r="1368" spans="1:5" x14ac:dyDescent="0.3">
      <c r="A1368" t="s">
        <v>334</v>
      </c>
      <c r="B1368" t="s">
        <v>335</v>
      </c>
      <c r="C1368" t="s">
        <v>385</v>
      </c>
      <c r="D1368" t="s">
        <v>341</v>
      </c>
      <c r="E1368" s="12" t="str">
        <f t="shared" si="21"/>
        <v>Centro esquerda</v>
      </c>
    </row>
    <row r="1369" spans="1:5" x14ac:dyDescent="0.3">
      <c r="A1369" t="s">
        <v>334</v>
      </c>
      <c r="B1369" t="s">
        <v>335</v>
      </c>
      <c r="C1369" t="s">
        <v>94</v>
      </c>
      <c r="D1369" t="s">
        <v>95</v>
      </c>
      <c r="E1369" s="12" t="str">
        <f t="shared" si="21"/>
        <v>Centro esquerda</v>
      </c>
    </row>
    <row r="1370" spans="1:5" x14ac:dyDescent="0.3">
      <c r="A1370" t="s">
        <v>334</v>
      </c>
      <c r="B1370" t="s">
        <v>335</v>
      </c>
      <c r="C1370" t="s">
        <v>386</v>
      </c>
      <c r="D1370" t="s">
        <v>387</v>
      </c>
      <c r="E1370" s="12" t="str">
        <f t="shared" si="21"/>
        <v>Centro esquerda</v>
      </c>
    </row>
    <row r="1371" spans="1:5" x14ac:dyDescent="0.3">
      <c r="A1371" t="s">
        <v>135</v>
      </c>
      <c r="B1371" t="s">
        <v>136</v>
      </c>
      <c r="C1371" t="s">
        <v>137</v>
      </c>
      <c r="D1371" t="s">
        <v>138</v>
      </c>
      <c r="E1371" s="12" t="str">
        <f t="shared" si="21"/>
        <v>Centro esquerda</v>
      </c>
    </row>
    <row r="1372" spans="1:5" x14ac:dyDescent="0.3">
      <c r="A1372" t="s">
        <v>135</v>
      </c>
      <c r="B1372" t="s">
        <v>136</v>
      </c>
      <c r="C1372" t="s">
        <v>139</v>
      </c>
      <c r="D1372" t="s">
        <v>140</v>
      </c>
      <c r="E1372" s="12" t="str">
        <f t="shared" si="21"/>
        <v>Centro esquerda</v>
      </c>
    </row>
    <row r="1373" spans="1:5" x14ac:dyDescent="0.3">
      <c r="A1373" t="s">
        <v>135</v>
      </c>
      <c r="B1373" t="s">
        <v>136</v>
      </c>
      <c r="C1373" t="s">
        <v>141</v>
      </c>
      <c r="D1373" t="s">
        <v>142</v>
      </c>
      <c r="E1373" s="12" t="str">
        <f t="shared" si="21"/>
        <v>Centro esquerda</v>
      </c>
    </row>
    <row r="1374" spans="1:5" x14ac:dyDescent="0.3">
      <c r="A1374" t="s">
        <v>135</v>
      </c>
      <c r="B1374" t="s">
        <v>136</v>
      </c>
      <c r="C1374" t="s">
        <v>143</v>
      </c>
      <c r="D1374" t="s">
        <v>144</v>
      </c>
      <c r="E1374" s="12" t="str">
        <f t="shared" si="21"/>
        <v>Centro esquerda</v>
      </c>
    </row>
    <row r="1375" spans="1:5" x14ac:dyDescent="0.3">
      <c r="A1375" t="s">
        <v>135</v>
      </c>
      <c r="B1375" t="s">
        <v>136</v>
      </c>
      <c r="C1375" t="s">
        <v>145</v>
      </c>
      <c r="D1375" t="s">
        <v>146</v>
      </c>
      <c r="E1375" s="12" t="str">
        <f t="shared" si="21"/>
        <v>Centro esquerda</v>
      </c>
    </row>
    <row r="1376" spans="1:5" x14ac:dyDescent="0.3">
      <c r="A1376" t="s">
        <v>135</v>
      </c>
      <c r="B1376" t="s">
        <v>136</v>
      </c>
      <c r="C1376" t="s">
        <v>147</v>
      </c>
      <c r="D1376" t="s">
        <v>148</v>
      </c>
      <c r="E1376" s="12" t="str">
        <f t="shared" si="21"/>
        <v>Centro esquerda</v>
      </c>
    </row>
    <row r="1377" spans="1:5" x14ac:dyDescent="0.3">
      <c r="A1377" t="s">
        <v>135</v>
      </c>
      <c r="B1377" t="s">
        <v>136</v>
      </c>
      <c r="C1377" t="s">
        <v>149</v>
      </c>
      <c r="D1377" t="s">
        <v>150</v>
      </c>
      <c r="E1377" s="12" t="str">
        <f t="shared" si="21"/>
        <v>Centro esquerda</v>
      </c>
    </row>
    <row r="1378" spans="1:5" x14ac:dyDescent="0.3">
      <c r="A1378" t="s">
        <v>135</v>
      </c>
      <c r="B1378" t="s">
        <v>136</v>
      </c>
      <c r="C1378" t="s">
        <v>151</v>
      </c>
      <c r="D1378" t="s">
        <v>152</v>
      </c>
      <c r="E1378" s="12" t="str">
        <f t="shared" si="21"/>
        <v>Centro esquerda</v>
      </c>
    </row>
    <row r="1379" spans="1:5" x14ac:dyDescent="0.3">
      <c r="A1379" t="s">
        <v>135</v>
      </c>
      <c r="B1379" t="s">
        <v>136</v>
      </c>
      <c r="C1379" t="s">
        <v>153</v>
      </c>
      <c r="D1379" t="s">
        <v>154</v>
      </c>
      <c r="E1379" s="12" t="str">
        <f t="shared" si="21"/>
        <v>Centro esquerda</v>
      </c>
    </row>
    <row r="1380" spans="1:5" x14ac:dyDescent="0.3">
      <c r="A1380" t="s">
        <v>135</v>
      </c>
      <c r="B1380" t="s">
        <v>136</v>
      </c>
      <c r="C1380" t="s">
        <v>155</v>
      </c>
      <c r="D1380" t="s">
        <v>156</v>
      </c>
      <c r="E1380" s="12" t="str">
        <f t="shared" si="21"/>
        <v>Centro esquerda</v>
      </c>
    </row>
    <row r="1381" spans="1:5" x14ac:dyDescent="0.3">
      <c r="A1381" t="s">
        <v>135</v>
      </c>
      <c r="B1381" t="s">
        <v>136</v>
      </c>
      <c r="C1381" t="s">
        <v>42</v>
      </c>
      <c r="D1381" t="s">
        <v>43</v>
      </c>
      <c r="E1381" s="12" t="str">
        <f t="shared" si="21"/>
        <v>Centro esquerda</v>
      </c>
    </row>
    <row r="1382" spans="1:5" x14ac:dyDescent="0.3">
      <c r="A1382" t="s">
        <v>135</v>
      </c>
      <c r="B1382" t="s">
        <v>136</v>
      </c>
      <c r="C1382" t="s">
        <v>157</v>
      </c>
      <c r="D1382" t="s">
        <v>158</v>
      </c>
      <c r="E1382" s="12" t="str">
        <f t="shared" si="21"/>
        <v>Centro esquerda</v>
      </c>
    </row>
    <row r="1383" spans="1:5" x14ac:dyDescent="0.3">
      <c r="A1383" t="s">
        <v>135</v>
      </c>
      <c r="B1383" t="s">
        <v>136</v>
      </c>
      <c r="C1383" t="s">
        <v>159</v>
      </c>
      <c r="D1383" t="s">
        <v>160</v>
      </c>
      <c r="E1383" s="12" t="str">
        <f t="shared" si="21"/>
        <v>Centro esquerda</v>
      </c>
    </row>
    <row r="1384" spans="1:5" x14ac:dyDescent="0.3">
      <c r="A1384" t="s">
        <v>135</v>
      </c>
      <c r="B1384" t="s">
        <v>136</v>
      </c>
      <c r="C1384" t="s">
        <v>161</v>
      </c>
      <c r="D1384" t="s">
        <v>162</v>
      </c>
      <c r="E1384" s="12" t="str">
        <f t="shared" si="21"/>
        <v>Centro esquerda</v>
      </c>
    </row>
    <row r="1385" spans="1:5" x14ac:dyDescent="0.3">
      <c r="A1385" t="s">
        <v>135</v>
      </c>
      <c r="B1385" t="s">
        <v>136</v>
      </c>
      <c r="C1385" t="s">
        <v>163</v>
      </c>
      <c r="D1385" t="s">
        <v>164</v>
      </c>
      <c r="E1385" s="12" t="str">
        <f t="shared" si="21"/>
        <v>Centro esquerda</v>
      </c>
    </row>
    <row r="1386" spans="1:5" x14ac:dyDescent="0.3">
      <c r="A1386" t="s">
        <v>135</v>
      </c>
      <c r="B1386" t="s">
        <v>136</v>
      </c>
      <c r="C1386" t="s">
        <v>165</v>
      </c>
      <c r="D1386" t="s">
        <v>166</v>
      </c>
      <c r="E1386" s="12" t="str">
        <f t="shared" si="21"/>
        <v>Centro esquerda</v>
      </c>
    </row>
    <row r="1387" spans="1:5" x14ac:dyDescent="0.3">
      <c r="A1387" t="s">
        <v>135</v>
      </c>
      <c r="B1387" t="s">
        <v>136</v>
      </c>
      <c r="C1387" t="s">
        <v>167</v>
      </c>
      <c r="D1387" t="s">
        <v>168</v>
      </c>
      <c r="E1387" s="12" t="str">
        <f t="shared" si="21"/>
        <v>Centro esquerda</v>
      </c>
    </row>
    <row r="1388" spans="1:5" x14ac:dyDescent="0.3">
      <c r="A1388" t="s">
        <v>135</v>
      </c>
      <c r="B1388" t="s">
        <v>136</v>
      </c>
      <c r="C1388" t="s">
        <v>143</v>
      </c>
      <c r="D1388" t="s">
        <v>169</v>
      </c>
      <c r="E1388" s="12" t="str">
        <f t="shared" si="21"/>
        <v>Centro esquerda</v>
      </c>
    </row>
    <row r="1389" spans="1:5" x14ac:dyDescent="0.3">
      <c r="A1389" t="s">
        <v>135</v>
      </c>
      <c r="B1389" t="s">
        <v>136</v>
      </c>
      <c r="C1389" t="s">
        <v>170</v>
      </c>
      <c r="D1389" t="s">
        <v>171</v>
      </c>
      <c r="E1389" s="12" t="str">
        <f t="shared" si="21"/>
        <v>Centro esquerda</v>
      </c>
    </row>
    <row r="1390" spans="1:5" x14ac:dyDescent="0.3">
      <c r="A1390" t="s">
        <v>135</v>
      </c>
      <c r="B1390" t="s">
        <v>136</v>
      </c>
      <c r="C1390" t="s">
        <v>172</v>
      </c>
      <c r="D1390" t="s">
        <v>173</v>
      </c>
      <c r="E1390" s="12" t="str">
        <f t="shared" si="21"/>
        <v>Centro esquerda</v>
      </c>
    </row>
    <row r="1391" spans="1:5" x14ac:dyDescent="0.3">
      <c r="A1391" t="s">
        <v>135</v>
      </c>
      <c r="B1391" t="s">
        <v>136</v>
      </c>
      <c r="C1391" t="s">
        <v>174</v>
      </c>
      <c r="D1391" t="s">
        <v>156</v>
      </c>
      <c r="E1391" s="12" t="str">
        <f t="shared" si="21"/>
        <v>Centro esquerda</v>
      </c>
    </row>
    <row r="1392" spans="1:5" x14ac:dyDescent="0.3">
      <c r="A1392" t="s">
        <v>135</v>
      </c>
      <c r="B1392" t="s">
        <v>136</v>
      </c>
      <c r="C1392" t="s">
        <v>175</v>
      </c>
      <c r="D1392" t="s">
        <v>176</v>
      </c>
      <c r="E1392" s="12" t="str">
        <f t="shared" si="21"/>
        <v>Centro esquerda</v>
      </c>
    </row>
    <row r="1393" spans="1:5" x14ac:dyDescent="0.3">
      <c r="A1393" t="s">
        <v>135</v>
      </c>
      <c r="B1393" t="s">
        <v>136</v>
      </c>
      <c r="C1393" t="s">
        <v>177</v>
      </c>
      <c r="D1393" t="s">
        <v>168</v>
      </c>
      <c r="E1393" s="12" t="str">
        <f t="shared" si="21"/>
        <v>Centro esquerda</v>
      </c>
    </row>
    <row r="1394" spans="1:5" x14ac:dyDescent="0.3">
      <c r="A1394" t="s">
        <v>135</v>
      </c>
      <c r="B1394" t="s">
        <v>136</v>
      </c>
      <c r="C1394" t="s">
        <v>178</v>
      </c>
      <c r="D1394" t="s">
        <v>179</v>
      </c>
      <c r="E1394" s="12" t="str">
        <f t="shared" si="21"/>
        <v>Centro esquerda</v>
      </c>
    </row>
    <row r="1395" spans="1:5" x14ac:dyDescent="0.3">
      <c r="A1395" t="s">
        <v>135</v>
      </c>
      <c r="B1395" t="s">
        <v>136</v>
      </c>
      <c r="C1395" t="s">
        <v>180</v>
      </c>
      <c r="D1395" t="s">
        <v>181</v>
      </c>
      <c r="E1395" s="12" t="str">
        <f t="shared" si="21"/>
        <v>Centro esquerda</v>
      </c>
    </row>
    <row r="1396" spans="1:5" x14ac:dyDescent="0.3">
      <c r="A1396" t="s">
        <v>135</v>
      </c>
      <c r="B1396" t="s">
        <v>136</v>
      </c>
      <c r="C1396" t="s">
        <v>182</v>
      </c>
      <c r="D1396" t="s">
        <v>183</v>
      </c>
      <c r="E1396" s="12" t="str">
        <f t="shared" si="21"/>
        <v>Centro esquerda</v>
      </c>
    </row>
    <row r="1397" spans="1:5" x14ac:dyDescent="0.3">
      <c r="A1397" t="s">
        <v>135</v>
      </c>
      <c r="B1397" t="s">
        <v>136</v>
      </c>
      <c r="C1397" t="s">
        <v>184</v>
      </c>
      <c r="D1397" t="s">
        <v>185</v>
      </c>
      <c r="E1397" s="12" t="str">
        <f t="shared" si="21"/>
        <v>Centro esquerda</v>
      </c>
    </row>
    <row r="1398" spans="1:5" x14ac:dyDescent="0.3">
      <c r="A1398" t="s">
        <v>135</v>
      </c>
      <c r="B1398" t="s">
        <v>136</v>
      </c>
      <c r="C1398" t="s">
        <v>186</v>
      </c>
      <c r="D1398" t="s">
        <v>187</v>
      </c>
      <c r="E1398" s="12" t="str">
        <f t="shared" si="21"/>
        <v>Centro esquerda</v>
      </c>
    </row>
    <row r="1399" spans="1:5" x14ac:dyDescent="0.3">
      <c r="A1399" t="s">
        <v>135</v>
      </c>
      <c r="B1399" t="s">
        <v>136</v>
      </c>
      <c r="C1399" t="s">
        <v>188</v>
      </c>
      <c r="D1399" t="s">
        <v>189</v>
      </c>
      <c r="E1399" s="12" t="str">
        <f t="shared" si="21"/>
        <v>Centro esquerda</v>
      </c>
    </row>
    <row r="1400" spans="1:5" x14ac:dyDescent="0.3">
      <c r="A1400" t="s">
        <v>135</v>
      </c>
      <c r="B1400" t="s">
        <v>136</v>
      </c>
      <c r="C1400" t="s">
        <v>190</v>
      </c>
      <c r="D1400" t="s">
        <v>191</v>
      </c>
      <c r="E1400" s="12" t="str">
        <f t="shared" si="21"/>
        <v>Centro esquerda</v>
      </c>
    </row>
    <row r="1401" spans="1:5" x14ac:dyDescent="0.3">
      <c r="A1401" t="s">
        <v>135</v>
      </c>
      <c r="B1401" t="s">
        <v>136</v>
      </c>
      <c r="C1401" t="s">
        <v>192</v>
      </c>
      <c r="D1401" t="s">
        <v>193</v>
      </c>
      <c r="E1401" s="12" t="str">
        <f t="shared" si="21"/>
        <v>Centro esquerda</v>
      </c>
    </row>
    <row r="1402" spans="1:5" x14ac:dyDescent="0.3">
      <c r="A1402" t="s">
        <v>135</v>
      </c>
      <c r="B1402" t="s">
        <v>136</v>
      </c>
      <c r="C1402" t="s">
        <v>194</v>
      </c>
      <c r="D1402" t="s">
        <v>195</v>
      </c>
      <c r="E1402" s="12" t="str">
        <f t="shared" si="21"/>
        <v>Centro esquerda</v>
      </c>
    </row>
    <row r="1403" spans="1:5" x14ac:dyDescent="0.3">
      <c r="A1403" t="s">
        <v>135</v>
      </c>
      <c r="B1403" t="s">
        <v>136</v>
      </c>
      <c r="C1403" t="s">
        <v>196</v>
      </c>
      <c r="D1403" t="s">
        <v>197</v>
      </c>
      <c r="E1403" s="12" t="str">
        <f t="shared" si="21"/>
        <v>Centro esquerda</v>
      </c>
    </row>
    <row r="1404" spans="1:5" x14ac:dyDescent="0.3">
      <c r="A1404" t="s">
        <v>135</v>
      </c>
      <c r="B1404" t="s">
        <v>136</v>
      </c>
      <c r="C1404" t="s">
        <v>100</v>
      </c>
      <c r="D1404" t="s">
        <v>135</v>
      </c>
      <c r="E1404" s="12" t="str">
        <f t="shared" si="21"/>
        <v>Centro esquerda</v>
      </c>
    </row>
    <row r="1405" spans="1:5" x14ac:dyDescent="0.3">
      <c r="A1405" t="s">
        <v>135</v>
      </c>
      <c r="B1405" t="s">
        <v>136</v>
      </c>
      <c r="C1405" t="s">
        <v>198</v>
      </c>
      <c r="D1405" t="s">
        <v>199</v>
      </c>
      <c r="E1405" s="12" t="str">
        <f t="shared" si="21"/>
        <v>Centro esquerda</v>
      </c>
    </row>
    <row r="1406" spans="1:5" x14ac:dyDescent="0.3">
      <c r="A1406" t="s">
        <v>135</v>
      </c>
      <c r="B1406" t="s">
        <v>136</v>
      </c>
      <c r="C1406" t="s">
        <v>200</v>
      </c>
      <c r="D1406" t="s">
        <v>201</v>
      </c>
      <c r="E1406" s="12" t="str">
        <f t="shared" si="21"/>
        <v>Centro esquerda</v>
      </c>
    </row>
    <row r="1407" spans="1:5" x14ac:dyDescent="0.3">
      <c r="A1407" t="s">
        <v>135</v>
      </c>
      <c r="B1407" t="s">
        <v>136</v>
      </c>
      <c r="C1407" t="s">
        <v>202</v>
      </c>
      <c r="D1407" t="s">
        <v>203</v>
      </c>
      <c r="E1407" s="12" t="str">
        <f t="shared" si="21"/>
        <v>Centro esquerda</v>
      </c>
    </row>
    <row r="1408" spans="1:5" x14ac:dyDescent="0.3">
      <c r="A1408" t="s">
        <v>135</v>
      </c>
      <c r="B1408" t="s">
        <v>136</v>
      </c>
      <c r="C1408" t="s">
        <v>204</v>
      </c>
      <c r="D1408" t="s">
        <v>205</v>
      </c>
      <c r="E1408" s="12" t="str">
        <f t="shared" si="21"/>
        <v>Centro esquerda</v>
      </c>
    </row>
    <row r="1409" spans="1:5" x14ac:dyDescent="0.3">
      <c r="A1409" t="s">
        <v>4</v>
      </c>
      <c r="B1409" t="s">
        <v>5</v>
      </c>
      <c r="C1409" t="s">
        <v>6</v>
      </c>
      <c r="D1409" t="s">
        <v>7</v>
      </c>
      <c r="E1409" s="12" t="str">
        <f t="shared" si="21"/>
        <v>Esquerda</v>
      </c>
    </row>
    <row r="1410" spans="1:5" x14ac:dyDescent="0.3">
      <c r="A1410" t="s">
        <v>4</v>
      </c>
      <c r="B1410" t="s">
        <v>5</v>
      </c>
      <c r="C1410" t="s">
        <v>8</v>
      </c>
      <c r="D1410" t="s">
        <v>9</v>
      </c>
      <c r="E1410" s="12" t="str">
        <f t="shared" si="21"/>
        <v>Esquerda</v>
      </c>
    </row>
    <row r="1411" spans="1:5" x14ac:dyDescent="0.3">
      <c r="A1411" t="s">
        <v>4</v>
      </c>
      <c r="B1411" t="s">
        <v>5</v>
      </c>
      <c r="C1411" t="s">
        <v>10</v>
      </c>
      <c r="D1411" t="s">
        <v>11</v>
      </c>
      <c r="E1411" s="12" t="str">
        <f t="shared" ref="E1411:E1456" si="22">IF(INDEX(K:K,MATCH(A1411,I:I,0))&lt;&gt;0,INDEX(K:K,MATCH(A1411,I:I,0)),"")</f>
        <v>Esquerda</v>
      </c>
    </row>
    <row r="1412" spans="1:5" x14ac:dyDescent="0.3">
      <c r="A1412" t="s">
        <v>4</v>
      </c>
      <c r="B1412" t="s">
        <v>5</v>
      </c>
      <c r="C1412" t="s">
        <v>12</v>
      </c>
      <c r="D1412" t="s">
        <v>13</v>
      </c>
      <c r="E1412" s="12" t="str">
        <f t="shared" si="22"/>
        <v>Esquerda</v>
      </c>
    </row>
    <row r="1413" spans="1:5" x14ac:dyDescent="0.3">
      <c r="A1413" t="s">
        <v>4</v>
      </c>
      <c r="B1413" t="s">
        <v>5</v>
      </c>
      <c r="C1413" t="s">
        <v>14</v>
      </c>
      <c r="D1413" t="s">
        <v>15</v>
      </c>
      <c r="E1413" s="12" t="str">
        <f t="shared" si="22"/>
        <v>Esquerda</v>
      </c>
    </row>
    <row r="1414" spans="1:5" x14ac:dyDescent="0.3">
      <c r="A1414" t="s">
        <v>4</v>
      </c>
      <c r="B1414" t="s">
        <v>5</v>
      </c>
      <c r="C1414" t="s">
        <v>16</v>
      </c>
      <c r="D1414" t="s">
        <v>17</v>
      </c>
      <c r="E1414" s="12" t="str">
        <f t="shared" si="22"/>
        <v>Esquerda</v>
      </c>
    </row>
    <row r="1415" spans="1:5" x14ac:dyDescent="0.3">
      <c r="A1415" t="s">
        <v>4</v>
      </c>
      <c r="B1415" t="s">
        <v>5</v>
      </c>
      <c r="C1415" t="s">
        <v>18</v>
      </c>
      <c r="D1415" t="s">
        <v>19</v>
      </c>
      <c r="E1415" s="12" t="str">
        <f t="shared" si="22"/>
        <v>Esquerda</v>
      </c>
    </row>
    <row r="1416" spans="1:5" x14ac:dyDescent="0.3">
      <c r="A1416" t="s">
        <v>4</v>
      </c>
      <c r="B1416" t="s">
        <v>5</v>
      </c>
      <c r="C1416" t="s">
        <v>20</v>
      </c>
      <c r="D1416" t="s">
        <v>21</v>
      </c>
      <c r="E1416" s="12" t="str">
        <f t="shared" si="22"/>
        <v>Esquerda</v>
      </c>
    </row>
    <row r="1417" spans="1:5" x14ac:dyDescent="0.3">
      <c r="A1417" t="s">
        <v>4</v>
      </c>
      <c r="B1417" t="s">
        <v>5</v>
      </c>
      <c r="C1417" t="s">
        <v>22</v>
      </c>
      <c r="D1417" t="s">
        <v>23</v>
      </c>
      <c r="E1417" s="12" t="str">
        <f t="shared" si="22"/>
        <v>Esquerda</v>
      </c>
    </row>
    <row r="1418" spans="1:5" x14ac:dyDescent="0.3">
      <c r="A1418" t="s">
        <v>4</v>
      </c>
      <c r="B1418" t="s">
        <v>5</v>
      </c>
      <c r="C1418" t="s">
        <v>24</v>
      </c>
      <c r="D1418" t="s">
        <v>25</v>
      </c>
      <c r="E1418" s="12" t="str">
        <f t="shared" si="22"/>
        <v>Esquerda</v>
      </c>
    </row>
    <row r="1419" spans="1:5" x14ac:dyDescent="0.3">
      <c r="A1419" t="s">
        <v>4</v>
      </c>
      <c r="B1419" t="s">
        <v>5</v>
      </c>
      <c r="C1419" t="s">
        <v>26</v>
      </c>
      <c r="D1419" t="s">
        <v>27</v>
      </c>
      <c r="E1419" s="12" t="str">
        <f t="shared" si="22"/>
        <v>Esquerda</v>
      </c>
    </row>
    <row r="1420" spans="1:5" x14ac:dyDescent="0.3">
      <c r="A1420" t="s">
        <v>4</v>
      </c>
      <c r="B1420" t="s">
        <v>5</v>
      </c>
      <c r="C1420" t="s">
        <v>28</v>
      </c>
      <c r="D1420" t="s">
        <v>29</v>
      </c>
      <c r="E1420" s="12" t="str">
        <f t="shared" si="22"/>
        <v>Esquerda</v>
      </c>
    </row>
    <row r="1421" spans="1:5" x14ac:dyDescent="0.3">
      <c r="A1421" t="s">
        <v>4</v>
      </c>
      <c r="B1421" t="s">
        <v>5</v>
      </c>
      <c r="C1421" t="s">
        <v>30</v>
      </c>
      <c r="D1421" t="s">
        <v>31</v>
      </c>
      <c r="E1421" s="12" t="str">
        <f t="shared" si="22"/>
        <v>Esquerda</v>
      </c>
    </row>
    <row r="1422" spans="1:5" x14ac:dyDescent="0.3">
      <c r="A1422" t="s">
        <v>4</v>
      </c>
      <c r="B1422" t="s">
        <v>5</v>
      </c>
      <c r="C1422" t="s">
        <v>32</v>
      </c>
      <c r="D1422" t="s">
        <v>33</v>
      </c>
      <c r="E1422" s="12" t="str">
        <f t="shared" si="22"/>
        <v>Esquerda</v>
      </c>
    </row>
    <row r="1423" spans="1:5" x14ac:dyDescent="0.3">
      <c r="A1423" t="s">
        <v>4</v>
      </c>
      <c r="B1423" t="s">
        <v>5</v>
      </c>
      <c r="C1423" t="s">
        <v>34</v>
      </c>
      <c r="D1423" t="s">
        <v>35</v>
      </c>
      <c r="E1423" s="12" t="str">
        <f t="shared" si="22"/>
        <v>Esquerda</v>
      </c>
    </row>
    <row r="1424" spans="1:5" x14ac:dyDescent="0.3">
      <c r="A1424" t="s">
        <v>4</v>
      </c>
      <c r="B1424" t="s">
        <v>5</v>
      </c>
      <c r="C1424" t="s">
        <v>36</v>
      </c>
      <c r="D1424" t="s">
        <v>37</v>
      </c>
      <c r="E1424" s="12" t="str">
        <f t="shared" si="22"/>
        <v>Esquerda</v>
      </c>
    </row>
    <row r="1425" spans="1:5" x14ac:dyDescent="0.3">
      <c r="A1425" t="s">
        <v>4</v>
      </c>
      <c r="B1425" t="s">
        <v>5</v>
      </c>
      <c r="C1425" t="s">
        <v>38</v>
      </c>
      <c r="D1425" t="s">
        <v>39</v>
      </c>
      <c r="E1425" s="12" t="str">
        <f t="shared" si="22"/>
        <v>Esquerda</v>
      </c>
    </row>
    <row r="1426" spans="1:5" x14ac:dyDescent="0.3">
      <c r="A1426" t="s">
        <v>4</v>
      </c>
      <c r="B1426" t="s">
        <v>5</v>
      </c>
      <c r="C1426" t="s">
        <v>40</v>
      </c>
      <c r="D1426" t="s">
        <v>41</v>
      </c>
      <c r="E1426" s="12" t="str">
        <f t="shared" si="22"/>
        <v>Esquerda</v>
      </c>
    </row>
    <row r="1427" spans="1:5" x14ac:dyDescent="0.3">
      <c r="A1427" t="s">
        <v>4</v>
      </c>
      <c r="B1427" t="s">
        <v>5</v>
      </c>
      <c r="C1427" t="s">
        <v>42</v>
      </c>
      <c r="D1427" t="s">
        <v>43</v>
      </c>
      <c r="E1427" s="12" t="str">
        <f t="shared" si="22"/>
        <v>Esquerda</v>
      </c>
    </row>
    <row r="1428" spans="1:5" x14ac:dyDescent="0.3">
      <c r="A1428" t="s">
        <v>4</v>
      </c>
      <c r="B1428" t="s">
        <v>5</v>
      </c>
      <c r="C1428" t="s">
        <v>44</v>
      </c>
      <c r="D1428" t="s">
        <v>45</v>
      </c>
      <c r="E1428" s="12" t="str">
        <f t="shared" si="22"/>
        <v>Esquerda</v>
      </c>
    </row>
    <row r="1429" spans="1:5" x14ac:dyDescent="0.3">
      <c r="A1429" t="s">
        <v>4</v>
      </c>
      <c r="B1429" t="s">
        <v>5</v>
      </c>
      <c r="C1429" t="s">
        <v>46</v>
      </c>
      <c r="D1429" t="s">
        <v>47</v>
      </c>
      <c r="E1429" s="12" t="str">
        <f t="shared" si="22"/>
        <v>Esquerda</v>
      </c>
    </row>
    <row r="1430" spans="1:5" x14ac:dyDescent="0.3">
      <c r="A1430" t="s">
        <v>4</v>
      </c>
      <c r="B1430" t="s">
        <v>5</v>
      </c>
      <c r="C1430" t="s">
        <v>48</v>
      </c>
      <c r="D1430" t="s">
        <v>49</v>
      </c>
      <c r="E1430" s="12" t="str">
        <f t="shared" si="22"/>
        <v>Esquerda</v>
      </c>
    </row>
    <row r="1431" spans="1:5" x14ac:dyDescent="0.3">
      <c r="A1431" t="s">
        <v>4</v>
      </c>
      <c r="B1431" t="s">
        <v>5</v>
      </c>
      <c r="C1431" t="s">
        <v>50</v>
      </c>
      <c r="D1431" t="s">
        <v>51</v>
      </c>
      <c r="E1431" s="12" t="str">
        <f t="shared" si="22"/>
        <v>Esquerda</v>
      </c>
    </row>
    <row r="1432" spans="1:5" x14ac:dyDescent="0.3">
      <c r="A1432" t="s">
        <v>4</v>
      </c>
      <c r="B1432" t="s">
        <v>5</v>
      </c>
      <c r="C1432" t="s">
        <v>52</v>
      </c>
      <c r="D1432" t="s">
        <v>53</v>
      </c>
      <c r="E1432" s="12" t="str">
        <f t="shared" si="22"/>
        <v>Esquerda</v>
      </c>
    </row>
    <row r="1433" spans="1:5" x14ac:dyDescent="0.3">
      <c r="A1433" t="s">
        <v>4</v>
      </c>
      <c r="B1433" t="s">
        <v>5</v>
      </c>
      <c r="C1433" t="s">
        <v>54</v>
      </c>
      <c r="D1433" t="s">
        <v>55</v>
      </c>
      <c r="E1433" s="12" t="str">
        <f t="shared" si="22"/>
        <v>Esquerda</v>
      </c>
    </row>
    <row r="1434" spans="1:5" x14ac:dyDescent="0.3">
      <c r="A1434" t="s">
        <v>4</v>
      </c>
      <c r="B1434" t="s">
        <v>5</v>
      </c>
      <c r="C1434" t="s">
        <v>56</v>
      </c>
      <c r="D1434" t="s">
        <v>57</v>
      </c>
      <c r="E1434" s="12" t="str">
        <f t="shared" si="22"/>
        <v>Esquerda</v>
      </c>
    </row>
    <row r="1435" spans="1:5" x14ac:dyDescent="0.3">
      <c r="A1435" t="s">
        <v>4</v>
      </c>
      <c r="B1435" t="s">
        <v>5</v>
      </c>
      <c r="C1435" t="s">
        <v>58</v>
      </c>
      <c r="D1435" t="s">
        <v>59</v>
      </c>
      <c r="E1435" s="12" t="str">
        <f t="shared" si="22"/>
        <v>Esquerda</v>
      </c>
    </row>
    <row r="1436" spans="1:5" x14ac:dyDescent="0.3">
      <c r="A1436" t="s">
        <v>4</v>
      </c>
      <c r="B1436" t="s">
        <v>5</v>
      </c>
      <c r="C1436" t="s">
        <v>60</v>
      </c>
      <c r="D1436" t="s">
        <v>61</v>
      </c>
      <c r="E1436" s="12" t="str">
        <f t="shared" si="22"/>
        <v>Esquerda</v>
      </c>
    </row>
    <row r="1437" spans="1:5" x14ac:dyDescent="0.3">
      <c r="A1437" t="s">
        <v>4</v>
      </c>
      <c r="B1437" t="s">
        <v>5</v>
      </c>
      <c r="C1437" t="s">
        <v>62</v>
      </c>
      <c r="D1437" t="s">
        <v>63</v>
      </c>
      <c r="E1437" s="12" t="str">
        <f t="shared" si="22"/>
        <v>Esquerda</v>
      </c>
    </row>
    <row r="1438" spans="1:5" x14ac:dyDescent="0.3">
      <c r="A1438" t="s">
        <v>4</v>
      </c>
      <c r="B1438" t="s">
        <v>5</v>
      </c>
      <c r="C1438" t="s">
        <v>64</v>
      </c>
      <c r="D1438" t="s">
        <v>65</v>
      </c>
      <c r="E1438" s="12" t="str">
        <f t="shared" si="22"/>
        <v>Esquerda</v>
      </c>
    </row>
    <row r="1439" spans="1:5" x14ac:dyDescent="0.3">
      <c r="A1439" t="s">
        <v>4</v>
      </c>
      <c r="B1439" t="s">
        <v>5</v>
      </c>
      <c r="C1439" t="s">
        <v>66</v>
      </c>
      <c r="D1439" t="s">
        <v>67</v>
      </c>
      <c r="E1439" s="12" t="str">
        <f t="shared" si="22"/>
        <v>Esquerda</v>
      </c>
    </row>
    <row r="1440" spans="1:5" x14ac:dyDescent="0.3">
      <c r="A1440" t="s">
        <v>4</v>
      </c>
      <c r="B1440" t="s">
        <v>5</v>
      </c>
      <c r="C1440" t="s">
        <v>68</v>
      </c>
      <c r="D1440" t="s">
        <v>69</v>
      </c>
      <c r="E1440" s="12" t="str">
        <f t="shared" si="22"/>
        <v>Esquerda</v>
      </c>
    </row>
    <row r="1441" spans="1:5" x14ac:dyDescent="0.3">
      <c r="A1441" t="s">
        <v>4</v>
      </c>
      <c r="B1441" t="s">
        <v>5</v>
      </c>
      <c r="C1441" t="s">
        <v>70</v>
      </c>
      <c r="D1441" t="s">
        <v>71</v>
      </c>
      <c r="E1441" s="12" t="str">
        <f t="shared" si="22"/>
        <v>Esquerda</v>
      </c>
    </row>
    <row r="1442" spans="1:5" x14ac:dyDescent="0.3">
      <c r="A1442" t="s">
        <v>4</v>
      </c>
      <c r="B1442" t="s">
        <v>5</v>
      </c>
      <c r="C1442" t="s">
        <v>72</v>
      </c>
      <c r="D1442" t="s">
        <v>73</v>
      </c>
      <c r="E1442" s="12" t="str">
        <f t="shared" si="22"/>
        <v>Esquerda</v>
      </c>
    </row>
    <row r="1443" spans="1:5" x14ac:dyDescent="0.3">
      <c r="A1443" t="s">
        <v>4</v>
      </c>
      <c r="B1443" t="s">
        <v>5</v>
      </c>
      <c r="C1443" t="s">
        <v>74</v>
      </c>
      <c r="D1443" t="s">
        <v>75</v>
      </c>
      <c r="E1443" s="12" t="str">
        <f t="shared" si="22"/>
        <v>Esquerda</v>
      </c>
    </row>
    <row r="1444" spans="1:5" x14ac:dyDescent="0.3">
      <c r="A1444" t="s">
        <v>4</v>
      </c>
      <c r="B1444" t="s">
        <v>5</v>
      </c>
      <c r="C1444" t="s">
        <v>76</v>
      </c>
      <c r="D1444" t="s">
        <v>77</v>
      </c>
      <c r="E1444" s="12" t="str">
        <f t="shared" si="22"/>
        <v>Esquerda</v>
      </c>
    </row>
    <row r="1445" spans="1:5" x14ac:dyDescent="0.3">
      <c r="A1445" t="s">
        <v>4</v>
      </c>
      <c r="B1445" t="s">
        <v>5</v>
      </c>
      <c r="C1445" t="s">
        <v>78</v>
      </c>
      <c r="D1445" t="s">
        <v>79</v>
      </c>
      <c r="E1445" s="12" t="str">
        <f t="shared" si="22"/>
        <v>Esquerda</v>
      </c>
    </row>
    <row r="1446" spans="1:5" x14ac:dyDescent="0.3">
      <c r="A1446" t="s">
        <v>4</v>
      </c>
      <c r="B1446" t="s">
        <v>5</v>
      </c>
      <c r="C1446" t="s">
        <v>80</v>
      </c>
      <c r="D1446" t="s">
        <v>81</v>
      </c>
      <c r="E1446" s="12" t="str">
        <f t="shared" si="22"/>
        <v>Esquerda</v>
      </c>
    </row>
    <row r="1447" spans="1:5" x14ac:dyDescent="0.3">
      <c r="A1447" t="s">
        <v>4</v>
      </c>
      <c r="B1447" t="s">
        <v>5</v>
      </c>
      <c r="C1447" t="s">
        <v>82</v>
      </c>
      <c r="D1447" t="s">
        <v>83</v>
      </c>
      <c r="E1447" s="12" t="str">
        <f t="shared" si="22"/>
        <v>Esquerda</v>
      </c>
    </row>
    <row r="1448" spans="1:5" x14ac:dyDescent="0.3">
      <c r="A1448" t="s">
        <v>4</v>
      </c>
      <c r="B1448" t="s">
        <v>5</v>
      </c>
      <c r="C1448" t="s">
        <v>84</v>
      </c>
      <c r="D1448" t="s">
        <v>85</v>
      </c>
      <c r="E1448" s="12" t="str">
        <f t="shared" si="22"/>
        <v>Esquerda</v>
      </c>
    </row>
    <row r="1449" spans="1:5" x14ac:dyDescent="0.3">
      <c r="A1449" t="s">
        <v>4</v>
      </c>
      <c r="B1449" t="s">
        <v>5</v>
      </c>
      <c r="C1449" t="s">
        <v>86</v>
      </c>
      <c r="D1449" t="s">
        <v>87</v>
      </c>
      <c r="E1449" s="12" t="str">
        <f t="shared" si="22"/>
        <v>Esquerda</v>
      </c>
    </row>
    <row r="1450" spans="1:5" x14ac:dyDescent="0.3">
      <c r="A1450" t="s">
        <v>4</v>
      </c>
      <c r="B1450" t="s">
        <v>5</v>
      </c>
      <c r="C1450" t="s">
        <v>88</v>
      </c>
      <c r="D1450" t="s">
        <v>89</v>
      </c>
      <c r="E1450" s="12" t="str">
        <f t="shared" si="22"/>
        <v>Esquerda</v>
      </c>
    </row>
    <row r="1451" spans="1:5" x14ac:dyDescent="0.3">
      <c r="A1451" t="s">
        <v>4</v>
      </c>
      <c r="B1451" t="s">
        <v>5</v>
      </c>
      <c r="C1451" t="s">
        <v>90</v>
      </c>
      <c r="D1451" t="s">
        <v>91</v>
      </c>
      <c r="E1451" s="12" t="str">
        <f t="shared" si="22"/>
        <v>Esquerda</v>
      </c>
    </row>
    <row r="1452" spans="1:5" x14ac:dyDescent="0.3">
      <c r="A1452" t="s">
        <v>4</v>
      </c>
      <c r="B1452" t="s">
        <v>5</v>
      </c>
      <c r="C1452" t="s">
        <v>92</v>
      </c>
      <c r="D1452" t="s">
        <v>93</v>
      </c>
      <c r="E1452" s="12" t="str">
        <f t="shared" si="22"/>
        <v>Esquerda</v>
      </c>
    </row>
    <row r="1453" spans="1:5" x14ac:dyDescent="0.3">
      <c r="A1453" t="s">
        <v>4</v>
      </c>
      <c r="B1453" t="s">
        <v>5</v>
      </c>
      <c r="C1453" t="s">
        <v>94</v>
      </c>
      <c r="D1453" t="s">
        <v>95</v>
      </c>
      <c r="E1453" s="12" t="str">
        <f t="shared" si="22"/>
        <v>Esquerda</v>
      </c>
    </row>
    <row r="1454" spans="1:5" x14ac:dyDescent="0.3">
      <c r="A1454" t="s">
        <v>4</v>
      </c>
      <c r="B1454" t="s">
        <v>5</v>
      </c>
      <c r="C1454" t="s">
        <v>96</v>
      </c>
      <c r="D1454" t="s">
        <v>97</v>
      </c>
      <c r="E1454" s="12" t="str">
        <f t="shared" si="22"/>
        <v>Esquerda</v>
      </c>
    </row>
    <row r="1455" spans="1:5" x14ac:dyDescent="0.3">
      <c r="A1455" t="s">
        <v>4</v>
      </c>
      <c r="B1455" t="s">
        <v>5</v>
      </c>
      <c r="C1455" t="s">
        <v>98</v>
      </c>
      <c r="D1455" t="s">
        <v>99</v>
      </c>
      <c r="E1455" s="12" t="str">
        <f t="shared" si="22"/>
        <v>Esquerda</v>
      </c>
    </row>
    <row r="1456" spans="1:5" ht="15" thickBot="1" x14ac:dyDescent="0.35">
      <c r="A1456" t="s">
        <v>4</v>
      </c>
      <c r="B1456" t="s">
        <v>5</v>
      </c>
      <c r="C1456" t="s">
        <v>100</v>
      </c>
      <c r="D1456" t="s">
        <v>4</v>
      </c>
      <c r="E1456" s="13" t="str">
        <f t="shared" si="22"/>
        <v>Esquerda</v>
      </c>
    </row>
  </sheetData>
  <conditionalFormatting sqref="K1:K1048576">
    <cfRule type="cellIs" dxfId="11" priority="7" operator="equal">
      <formula>"Indefinido"</formula>
    </cfRule>
    <cfRule type="cellIs" dxfId="10" priority="8" operator="equal">
      <formula>"Esquerda"</formula>
    </cfRule>
    <cfRule type="cellIs" dxfId="9" priority="9" operator="equal">
      <formula>"Centro esquerda"</formula>
    </cfRule>
    <cfRule type="cellIs" dxfId="8" priority="10" operator="equal">
      <formula>"Centro"</formula>
    </cfRule>
    <cfRule type="cellIs" dxfId="7" priority="11" operator="equal">
      <formula>"Centro direita"</formula>
    </cfRule>
    <cfRule type="cellIs" dxfId="6" priority="12" operator="equal">
      <formula>"Direita"</formula>
    </cfRule>
  </conditionalFormatting>
  <conditionalFormatting sqref="E2:E1456">
    <cfRule type="cellIs" dxfId="5" priority="6" operator="equal">
      <formula>"Direita"</formula>
    </cfRule>
  </conditionalFormatting>
  <conditionalFormatting sqref="E1:E1048576">
    <cfRule type="cellIs" dxfId="4" priority="1" operator="equal">
      <formula>"Indefinido"</formula>
    </cfRule>
    <cfRule type="cellIs" dxfId="3" priority="2" operator="equal">
      <formula>"Esquerda"</formula>
    </cfRule>
    <cfRule type="cellIs" dxfId="2" priority="3" operator="equal">
      <formula>"Centro esquerda"</formula>
    </cfRule>
    <cfRule type="cellIs" dxfId="1" priority="4" operator="equal">
      <formula>"Centro"</formula>
    </cfRule>
    <cfRule type="cellIs" dxfId="0" priority="5" operator="equal">
      <formula>"Centro direita"</formula>
    </cfRule>
  </conditionalFormatting>
  <dataValidations disablePrompts="1" count="1">
    <dataValidation type="list" allowBlank="1" showInputMessage="1" showErrorMessage="1" sqref="E2:E1456 K2:K54" xr:uid="{0FB02713-B0D5-497A-AEE3-0E6B455359E3}">
      <formula1>$R$2:$R$7</formula1>
    </dataValidation>
  </dataValidations>
  <hyperlinks>
    <hyperlink ref="M2" location="'Partidos e estados'!A1" display="Voltar ao painel principal" xr:uid="{DCE1F888-59C8-4AE3-A243-D8025B4116B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Partidos e estados</vt:lpstr>
      <vt:lpstr>Dados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Pablo Sousa Rabelo</dc:creator>
  <cp:lastModifiedBy>Jean Pablo Sousa Rabelo</cp:lastModifiedBy>
  <dcterms:created xsi:type="dcterms:W3CDTF">2021-11-02T21:09:06Z</dcterms:created>
  <dcterms:modified xsi:type="dcterms:W3CDTF">2021-11-06T17:44:20Z</dcterms:modified>
</cp:coreProperties>
</file>